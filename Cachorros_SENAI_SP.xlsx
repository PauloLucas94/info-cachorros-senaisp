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n1059914\Documents\Power-Bi\info-cachorros\"/>
    </mc:Choice>
  </mc:AlternateContent>
  <xr:revisionPtr revIDLastSave="0" documentId="13_ncr:1_{A20C55EB-7B4B-4064-9494-F0A88C60D11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esumo" sheetId="1" r:id="rId1"/>
    <sheet name="Base Consolidada" sheetId="2" r:id="rId2"/>
    <sheet name="Resumo por CFP" sheetId="3" r:id="rId3"/>
    <sheet name="Pontos de Atenção" sheetId="4" r:id="rId4"/>
    <sheet name="BI_Base" sheetId="5" r:id="rId5"/>
    <sheet name="BI_Inconsistenci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</calcChain>
</file>

<file path=xl/sharedStrings.xml><?xml version="1.0" encoding="utf-8"?>
<sst xmlns="http://schemas.openxmlformats.org/spreadsheetml/2006/main" count="889" uniqueCount="315">
  <si>
    <t>ID</t>
  </si>
  <si>
    <t>CFP</t>
  </si>
  <si>
    <t>Latitude</t>
  </si>
  <si>
    <t>Longitude</t>
  </si>
  <si>
    <t>Nome do Cachorro</t>
  </si>
  <si>
    <t>Sexo</t>
  </si>
  <si>
    <t>Porte</t>
  </si>
  <si>
    <t>Idade (anos)</t>
  </si>
  <si>
    <t>Faixa Etaria</t>
  </si>
  <si>
    <t>Raca Normalizada</t>
  </si>
  <si>
    <t>Castrado</t>
  </si>
  <si>
    <t>Vacinado</t>
  </si>
  <si>
    <t>Vacinas Recebidas</t>
  </si>
  <si>
    <t>Microchipado</t>
  </si>
  <si>
    <t>Abrigo Adequado</t>
  </si>
  <si>
    <t>Documento SENAI</t>
  </si>
  <si>
    <t>Qual Documento</t>
  </si>
  <si>
    <t>Vinculo com a Unidade</t>
  </si>
  <si>
    <t>Permanencia</t>
  </si>
  <si>
    <t>Acompanhamento Veterinario</t>
  </si>
  <si>
    <t>Possui Doenca</t>
  </si>
  <si>
    <t>Qual Doenca</t>
  </si>
  <si>
    <t>Medicamento Continuo</t>
  </si>
  <si>
    <t>Tem Carteira Vacinacao</t>
  </si>
  <si>
    <t>URL Carteira</t>
  </si>
  <si>
    <t>URL Foto</t>
  </si>
  <si>
    <t>Responsavel (curto)</t>
  </si>
  <si>
    <t>Responsavel Completo</t>
  </si>
  <si>
    <t>Respondente</t>
  </si>
  <si>
    <t>Criterios Atendidos</t>
  </si>
  <si>
    <t>Total Criterios</t>
  </si>
  <si>
    <t>Indice Conformidade</t>
  </si>
  <si>
    <t>Classificacao</t>
  </si>
  <si>
    <t>Qtd Pendencias</t>
  </si>
  <si>
    <t>Pendencias</t>
  </si>
  <si>
    <t>1.02</t>
  </si>
  <si>
    <t>Zeus</t>
  </si>
  <si>
    <t>Macho</t>
  </si>
  <si>
    <t>Grande</t>
  </si>
  <si>
    <t>Idoso (8+ anos)</t>
  </si>
  <si>
    <t>Doberman</t>
  </si>
  <si>
    <t>Antirrábica + Dectupla</t>
  </si>
  <si>
    <t>Crachá e RGA</t>
  </si>
  <si>
    <t>Oficial do SENAI</t>
  </si>
  <si>
    <t>Integral (24h)</t>
  </si>
  <si>
    <t>Semestral</t>
  </si>
  <si>
    <t>https://sesisenaisp.sharepoint.com/sites/GIS/Documentos%20Compartilhados/Aplicativos/Microsoft%20Forms/Informa%C3%A7%C3%B5es%20dos%20%20%20%20%20%20%20%20%20%20%20%20%20%20%20%20cachorros/Anexe%20a%20carteira%20de%20vacina%C3%A7%C3%A3o%20(se%20houver)%201/Vacinas%20Zeus_Rosemeire%20Mendes.jpg</t>
  </si>
  <si>
    <t>Edison Queiros</t>
  </si>
  <si>
    <t>Edison Queiros - AQV</t>
  </si>
  <si>
    <t>Rosemeire Mendes</t>
  </si>
  <si>
    <t>Nenhuma</t>
  </si>
  <si>
    <t>1.28</t>
  </si>
  <si>
    <t>Beethoven</t>
  </si>
  <si>
    <t>Médio</t>
  </si>
  <si>
    <t>SRD</t>
  </si>
  <si>
    <t>Raiva e DHPPi+L + Vermífugo</t>
  </si>
  <si>
    <t>E-mail - Sra. BEATRIZ ANGELINA CANAL AIUB - ANALISTA DE RESPONSABILIDADE SOCIAL</t>
  </si>
  <si>
    <t>Quando necessário</t>
  </si>
  <si>
    <t>https://sesisenaisp.sharepoint.com/sites/GIS/Documentos%20Compartilhados/Aplicativos/Microsoft%20Forms/Informa%C3%A7%C3%B5es%20dos%20%20%20%20%20%20%20%20%20%20%20%20%20%20%20%20cachorros/Anexe%20a%20carteira%20de%20vacina%C3%A7%C3%A3o%20(se%20houver)%201/Carteira%20Vacina%C3%A7%C3%A3o%20Beethoven%20-%202026_Jones%20Ribeiro.pdf</t>
  </si>
  <si>
    <t>Jones Cesar Ribeiro</t>
  </si>
  <si>
    <t>Jones Cesar Ribeiro - CAF</t>
  </si>
  <si>
    <t>Jones Ribeiro</t>
  </si>
  <si>
    <t>Nutella</t>
  </si>
  <si>
    <t>Pequeno</t>
  </si>
  <si>
    <t>Adulto (3-7 anos)</t>
  </si>
  <si>
    <t>https://sesisenaisp.sharepoint.com/sites/GIS/Documentos%20Compartilhados/Aplicativos/Microsoft%20Forms/Informa%C3%A7%C3%B5es%20dos%20%20%20%20%20%20%20%20%20%20%20%20%20%20%20%20cachorros/Anexe%20a%20carteira%20de%20vacina%C3%A7%C3%A3o%20(se%20houver)/Carteira%20de%20Vanic%C3%A7%C3%A3o%20Nutella%20-%202026_Jones%20Ribeiro.pdf</t>
  </si>
  <si>
    <t>1.36</t>
  </si>
  <si>
    <t>José Ephim Mindlin</t>
  </si>
  <si>
    <t>Jovem (1-2 anos)</t>
  </si>
  <si>
    <t>Todas - Foi custeado pela escola. Faz acompanhamento regular no veterinário e banho semanal.</t>
  </si>
  <si>
    <t>https://sesisenaisp.sharepoint.com/sites/GIS/Documentos%20Compartilhados/Aplicativos/Microsoft%20Forms/Informa%C3%A7%C3%B5es%20dos%20%20%20%20%20%20%20%20%20%20%20%20%20%20%20%20cachorros/Anexe%20a%20carteira%20de%20vacina%C3%A7%C3%A3o%20(se%20houver)%201/Captura%20de%20tela%202026-07-30%20161200_Ana%20Silva.png</t>
  </si>
  <si>
    <t>Karina Sanches de Oliveira</t>
  </si>
  <si>
    <t>Karina Sanches de Oliveira - Coordenadora Técnica Pedagógica. A mesma tem apoio da própria equipe para os cuidados diários do doguinho, sendo, a bibliotecaria Roberta, Jomar - OPP, Priscila - Ass. Apoio Técnico e Renato - IFP II, responsáveis pelos passeios por turno e acompanhamento do doguinho junto aos alunos nos períodos da manhã e tarde.</t>
  </si>
  <si>
    <t>Ana Silva</t>
  </si>
  <si>
    <t>Não microchipado; Sem documento SENAI</t>
  </si>
  <si>
    <t>2.60</t>
  </si>
  <si>
    <t>Butti</t>
  </si>
  <si>
    <t>Filhote (&lt; 1 ano)</t>
  </si>
  <si>
    <t>Contra cinomose, hepatite infecciosa, parvovirose, parainfluenza, leptospirose e raiva</t>
  </si>
  <si>
    <t>Apenas durante o dia</t>
  </si>
  <si>
    <t>Sem carteira anexada</t>
  </si>
  <si>
    <t>Julio Cezar dos Santos</t>
  </si>
  <si>
    <t>Julio Cezar dos Santos - Diretor</t>
  </si>
  <si>
    <t>Gianna Vittoretti</t>
  </si>
  <si>
    <t>Não castrado; Não microchipado; Sem abrigo adequado; Sem documento SENAI</t>
  </si>
  <si>
    <t>3.01</t>
  </si>
  <si>
    <t>Félix</t>
  </si>
  <si>
    <t>Cinomose - 2 doses | Hepatite Infecciosa - 2 doses | Parainfluenza - 2 doses | Leptospirose - 2 doses | Parvovirose - 2 doses | Coronavirose - 2 doses|  Raiva</t>
  </si>
  <si>
    <t>https://sesisenaisp.sharepoint.com/sites/GIS/Documentos%20Compartilhados/Aplicativos/Microsoft%20Forms/Informa%C3%A7%C3%B5es%20dos%20%20%20%20%20%20%20%20%20%20%20%20%20%20%20%20cachorros/Anexe%20a%20carteira%20de%20vacina%C3%A7%C3%A3o%20(se%20houver)%201/Carteira%20Vacina%C3%A7%C3%A3o%20F%C3%A9lix_Fernando%20Goncalves.pdf</t>
  </si>
  <si>
    <t>Natalia Aparecida Galvao de Abreu</t>
  </si>
  <si>
    <t>Natalia Aparecida Galvao de Abreu - AQV | Nathalia de Castro Costa Rabelo - CAF</t>
  </si>
  <si>
    <t>Fernando Goncalves</t>
  </si>
  <si>
    <t>5.08</t>
  </si>
  <si>
    <t>Princesa</t>
  </si>
  <si>
    <t>Fêmea</t>
  </si>
  <si>
    <t>As vacinas recebidas até o momento constam na carteira de vacinação encaminhada em anexo. No entanto, como a vacina é importada, sua solicitação já foi realizada junto ao médico veterinário contratado, que já providenciou a encomenda junto ao órgão autorizado. Assim que a vacina estiver disponível, o veterinário comparecerá à unidade escolar para realizar a aplicação.</t>
  </si>
  <si>
    <t>https://sesisenaisp.sharepoint.com/sites/GIS/Documentos%20Compartilhados/Aplicativos/Microsoft%20Forms/Informa%C3%A7%C3%B5es%20dos%20%20%20%20%20%20%20%20%20%20%20%20%20%20%20%20cachorros/Anexe%20a%20carteira%20de%20vacina%C3%A7%C3%A3o%20(se%20houver)%201/CARTEIRA%20VACINA%C3%87%C3%83O_Ana%20Caetano.pdf</t>
  </si>
  <si>
    <t>Everton</t>
  </si>
  <si>
    <t>Everton - Supervisor de Manutenção</t>
  </si>
  <si>
    <t>Ana Caetano</t>
  </si>
  <si>
    <t>5.12</t>
  </si>
  <si>
    <t>Nina</t>
  </si>
  <si>
    <t>Não oficial</t>
  </si>
  <si>
    <t>Circula livremente</t>
  </si>
  <si>
    <t>Alex Duques Satler</t>
  </si>
  <si>
    <t>Alex Duques Satler - Supervisor de Manutenção</t>
  </si>
  <si>
    <t>Marcelo Malosso</t>
  </si>
  <si>
    <t>Não vacinado; Não microchipado; Sem abrigo adequado; Sem documento SENAI</t>
  </si>
  <si>
    <t>Nino</t>
  </si>
  <si>
    <t>Não castrado; Não vacinado; Não microchipado; Sem abrigo adequado; Sem documento SENAI</t>
  </si>
  <si>
    <t>5.69</t>
  </si>
  <si>
    <t>Negão</t>
  </si>
  <si>
    <t>Animal comunitário</t>
  </si>
  <si>
    <t>Não existe um único responsável. Essa atividade é colaborati</t>
  </si>
  <si>
    <t>Não existe um único responsável. Essa atividade é colaborativa.</t>
  </si>
  <si>
    <t>Jair Bras</t>
  </si>
  <si>
    <t>Não castrado; Não vacinado; Não microchipado; Sem documento SENAI</t>
  </si>
  <si>
    <t>5.94</t>
  </si>
  <si>
    <t>Clarinha</t>
  </si>
  <si>
    <t>Cinomose, Adenovírus Tipo 2, Parainfluenza, Parvovirose, Coronavírus e Leptospirose (sorovares Canicola, Grippotyphosa e Icterohaemorrhagiae).</t>
  </si>
  <si>
    <t>https://sesisenaisp.sharepoint.com/sites/GIS/Documentos%20Compartilhados/Aplicativos/Microsoft%20Forms/Informa%C3%A7%C3%B5es%20dos%20%20%20%20%20%20%20%20%20%20%20%20%20%20%20%20cachorros/Anexe%20a%20carteira%20de%20vacina%C3%A7%C3%A3o%20(se%20houver)%201/CLARA%20VACINA%C3%87%C3%83O_Israel%20Lima.pdf</t>
  </si>
  <si>
    <t>MAURÍCIO HELLER</t>
  </si>
  <si>
    <t>MAURÍCIO HELLER (OFICIAL DE MANUTENÇÃO 1)</t>
  </si>
  <si>
    <t>Israel Lima</t>
  </si>
  <si>
    <t>Leide</t>
  </si>
  <si>
    <t>https://sesisenaisp.sharepoint.com/sites/GIS/Documentos%20Compartilhados/Aplicativos/Microsoft%20Forms/Informa%C3%A7%C3%B5es%20dos%20%20%20%20%20%20%20%20%20%20%20%20%20%20%20%20cachorros/Anexe%20a%20carteira%20de%20vacina%C3%A7%C3%A3o%20(se%20houver)/LADY%20VACINA%C3%87%C3%83O_Israel%20Lima.pdf</t>
  </si>
  <si>
    <t>Maurício heller</t>
  </si>
  <si>
    <t>Maurício heller ( Oficial de serviço, manutenção e conservação )</t>
  </si>
  <si>
    <t>7.92</t>
  </si>
  <si>
    <t>Roberto Carlos</t>
  </si>
  <si>
    <t>Quando chegou na unidade recebeu vacina anti-rábica.</t>
  </si>
  <si>
    <t>O Roberto Carlos tem um trauma em uma das patas, consultamos um veterinário e segundo a avaliação ele não tem nenhum problema físico, mas como deve ter sido atropelado (antes de vir para cá) ele ficou com um trauma. Ele anda mancando, mas quando corre, coloca a pata traseira traumatizada no chão.</t>
  </si>
  <si>
    <t>A encarregada da limpadora abastece as vasilhas de ração e á</t>
  </si>
  <si>
    <t>A encarregada da limpadora abastece as vasilhas de ração e água.</t>
  </si>
  <si>
    <t>Aline Silva</t>
  </si>
  <si>
    <t>Jéssica</t>
  </si>
  <si>
    <t xml:space="preserve">A encarregada da limpadora abastece diariamente as vasilhas </t>
  </si>
  <si>
    <t>A encarregada da limpadora abastece diariamente as vasilhas de ração e água.</t>
  </si>
  <si>
    <t>9.14</t>
  </si>
  <si>
    <t>Juca</t>
  </si>
  <si>
    <t>Vacina Múltipla (V8) e Vacina Antirrábica</t>
  </si>
  <si>
    <t>https://sesisenaisp.sharepoint.com/sites/GIS/Documentos%20Compartilhados/Aplicativos/Microsoft%20Forms/Informa%C3%A7%C3%B5es%20dos%20%20%20%20%20%20%20%20%20%20%20%20%20%20%20%20cachorros/Anexe%20a%20carteira%20de%20vacina%C3%A7%C3%A3o%20(se%20houver)%201/Carteira%20de%20Vacina%C3%A7%C3%A3o%20Branca__Fernanda%20Breetz.pdf</t>
  </si>
  <si>
    <t>João Marcos de Lima</t>
  </si>
  <si>
    <t>João Marcos de Lima - Auxiliar de Serviços e Conservação</t>
  </si>
  <si>
    <t>Fernanda Breetz</t>
  </si>
  <si>
    <t>Sem documento SENAI</t>
  </si>
  <si>
    <t>Branca</t>
  </si>
  <si>
    <t>Vacina Multipla (V8) e Antirrábica</t>
  </si>
  <si>
    <t>https://sesisenaisp.sharepoint.com/sites/GIS/Documentos%20Compartilhados/Aplicativos/Microsoft%20Forms/Informa%C3%A7%C3%B5es%20dos%20%20%20%20%20%20%20%20%20%20%20%20%20%20%20%20cachorros/Anexe%20a%20carteira%20de%20vacina%C3%A7%C3%A3o%20(se%20houver)/Carteira%20de%20Vacina%C3%A7%C3%A3o%20Branca__Fernanda%20Breetz.pdf</t>
  </si>
  <si>
    <t>CONSOLIDADO DO FORMS - CACHORROS NAS UNIDADES SENAI</t>
  </si>
  <si>
    <t>Unidades com cachorros</t>
  </si>
  <si>
    <t>Cachorros castrados</t>
  </si>
  <si>
    <t>Cachorros vacinados</t>
  </si>
  <si>
    <t>Total de cachorros informados</t>
  </si>
  <si>
    <t>Cachorros não castrados</t>
  </si>
  <si>
    <t>Cachorros não vacinados</t>
  </si>
  <si>
    <t>Localização</t>
  </si>
  <si>
    <t>QTD CACHORRO</t>
  </si>
  <si>
    <t>Conformidades observadas</t>
  </si>
  <si>
    <t>Vila Alpina</t>
  </si>
  <si>
    <t>13 cachorros constam como vacinados; 13 como castrados; 13 com abrigo adequado e 5 microchipados.</t>
  </si>
  <si>
    <t>Guarulhos</t>
  </si>
  <si>
    <t>Barueri</t>
  </si>
  <si>
    <t>Registro</t>
  </si>
  <si>
    <t>Pontos de atenção</t>
  </si>
  <si>
    <t>Taubaté</t>
  </si>
  <si>
    <t>3 cachorros não constam como vacinados; 3 cachorros não são castrados; 3 cachorros não possuem abrigo adequado; 11 cachorros não são microchipados.</t>
  </si>
  <si>
    <t>Itatiba</t>
  </si>
  <si>
    <t>Sumaré</t>
  </si>
  <si>
    <t>Paulínia</t>
  </si>
  <si>
    <t>Iracemápolis</t>
  </si>
  <si>
    <t>Lençóis Paulista</t>
  </si>
  <si>
    <t>Pres. Prudente</t>
  </si>
  <si>
    <t>Total</t>
  </si>
  <si>
    <t>Nome do cachorro</t>
  </si>
  <si>
    <t>Idade aproximada</t>
  </si>
  <si>
    <t>Raça</t>
  </si>
  <si>
    <t>Vacinas recebidas</t>
  </si>
  <si>
    <t>Acompanhamento veterinário</t>
  </si>
  <si>
    <t>Possui Doença/condição de saúde</t>
  </si>
  <si>
    <t>Qual Doença/condição de saúde</t>
  </si>
  <si>
    <t>Medicamento de uso contínuo</t>
  </si>
  <si>
    <t>Pertence oficialmente à unidade</t>
  </si>
  <si>
    <t>Responsável pelos cuidados diários</t>
  </si>
  <si>
    <t>Permanência na unidade</t>
  </si>
  <si>
    <t>Possui abrigo adequado</t>
  </si>
  <si>
    <t>Possui documento vinculado ao SENAI</t>
  </si>
  <si>
    <t>Qual documento</t>
  </si>
  <si>
    <t>Carteira vacinação</t>
  </si>
  <si>
    <t>Foto atual</t>
  </si>
  <si>
    <t>Grande (Acima de 60 cm de altura)</t>
  </si>
  <si>
    <t>8 anos</t>
  </si>
  <si>
    <t>SIM</t>
  </si>
  <si>
    <t>NÃO</t>
  </si>
  <si>
    <t>Integralmente (24h)</t>
  </si>
  <si>
    <t>Abrir arquivo</t>
  </si>
  <si>
    <t>Médio (Entre 35 cm e 60 cm de altura)</t>
  </si>
  <si>
    <t>Beethoven – 11 anos</t>
  </si>
  <si>
    <t>Sem Raça Definida</t>
  </si>
  <si>
    <t>Pequeno (Até aproximadamente 35 cm de altura.)</t>
  </si>
  <si>
    <t>7 anos</t>
  </si>
  <si>
    <t>2 anos</t>
  </si>
  <si>
    <t>Viralata</t>
  </si>
  <si>
    <t>8 meses</t>
  </si>
  <si>
    <t>Sem raça definida.</t>
  </si>
  <si>
    <t>O cachorro é um Sem Raça Definida (SRD), popularmente conhecido no Brasil como vira-lata.</t>
  </si>
  <si>
    <t>Natalia Aparecida Galvao de Abreu - AQV 
Nathalia de Castro Costa Rabelo - CAF</t>
  </si>
  <si>
    <t>1 ano e 9 meses.</t>
  </si>
  <si>
    <t>na carteira de vacinação, consta que SRD</t>
  </si>
  <si>
    <t>04 anos</t>
  </si>
  <si>
    <t>SRD - Sem raça definida</t>
  </si>
  <si>
    <t>02 anos</t>
  </si>
  <si>
    <t>Sem raça definida, popularmente "vira-lata"</t>
  </si>
  <si>
    <t>3 ANOS</t>
  </si>
  <si>
    <t>SRD ( Sem raça definida)</t>
  </si>
  <si>
    <t>3 anos</t>
  </si>
  <si>
    <t>SRD (Sem raça definida)</t>
  </si>
  <si>
    <t>Sem raça definida</t>
  </si>
  <si>
    <t>6 anos</t>
  </si>
  <si>
    <t>08 anos</t>
  </si>
  <si>
    <t>sem raça definida (SRD)</t>
  </si>
  <si>
    <t>01 ano</t>
  </si>
  <si>
    <t>Sem Raça Definida (SRD)</t>
  </si>
  <si>
    <t>Quantidade de cachorros</t>
  </si>
  <si>
    <t>Nomes</t>
  </si>
  <si>
    <t>Vacinados</t>
  </si>
  <si>
    <t xml:space="preserve">Castrados </t>
  </si>
  <si>
    <t>Microchipados</t>
  </si>
  <si>
    <t>Com abrigo adequado</t>
  </si>
  <si>
    <t>Pertence oficialmente ao SENAI</t>
  </si>
  <si>
    <t>Beethoven, Nutella</t>
  </si>
  <si>
    <t>Nina, Nino</t>
  </si>
  <si>
    <t>SIM | NÃO</t>
  </si>
  <si>
    <t>Clarinha, Leide</t>
  </si>
  <si>
    <t>Roberto Carlos, Jéssica</t>
  </si>
  <si>
    <t>Juca, Branca</t>
  </si>
  <si>
    <t>Não microchipado
Sem documento vinculado ao SENAI</t>
  </si>
  <si>
    <t>Não microchipado
Não castrado 
Sem abrigo adequado
Sem documento vinculado ao SENAI</t>
  </si>
  <si>
    <t xml:space="preserve">Não vacinado
Não microchipado
O macho não é castrado 
Sem abrigo adequado
Não pertence oficialmente ao SENAI
</t>
  </si>
  <si>
    <t>Não vacinado
Não microchipado
Não castrado 
Animal comunitário</t>
  </si>
  <si>
    <t>Não microchipado
Sem documento vinculado ao SENAI
O macho possui um trauma em uma das patas traseiras, provavelmente decorrente de um atropelamento antes de chegar ao SENAI. Apesar de mancar ao caminhar, foi avaliado por um médico-veterinário e não apresenta comprometimento físico, levando uma vida normal.</t>
  </si>
  <si>
    <t>Sem documento vinculado ao SENAI</t>
  </si>
  <si>
    <t>#</t>
  </si>
  <si>
    <t>Aba de origem</t>
  </si>
  <si>
    <t>Campo</t>
  </si>
  <si>
    <t>O que consta</t>
  </si>
  <si>
    <t>O que a Base Consolidada mostra</t>
  </si>
  <si>
    <t>Impacto no BI</t>
  </si>
  <si>
    <t>Acao sugerida</t>
  </si>
  <si>
    <t>Resumo por CFP</t>
  </si>
  <si>
    <t>Linha desalinhada</t>
  </si>
  <si>
    <t>A linha do CFP 5.12 tem 8 valores ('NÃO | SIM | NÃO | NÃO | NÃO | NÃO') contra 7 colunas das demais linhas</t>
  </si>
  <si>
    <t>Nina: castrada SIM, vacinada NÃO. Nino: castrado NÃO, vacinado NÃO</t>
  </si>
  <si>
    <t>Se a aba fosse a fonte, os flags de castrado/vacinado/abrigo ficariam trocados</t>
  </si>
  <si>
    <t>Usar BI_Base como única fonte; corrigir a linha na aba original</t>
  </si>
  <si>
    <t>Castrado (nível unidade)</t>
  </si>
  <si>
    <t>SIM para a unidade inteira</t>
  </si>
  <si>
    <t>Nina SIM / Nino NÃO — divergem entre si</t>
  </si>
  <si>
    <t>Resumo por unidade esconde o caso individual</t>
  </si>
  <si>
    <t>Analisar no grão do cachorro (BI_Base)</t>
  </si>
  <si>
    <t>SIM — coerente, mas a aba Pontos de Atenção não cita abrigo</t>
  </si>
  <si>
    <t>Nenhum; apenas confirmar</t>
  </si>
  <si>
    <t>Sem ação</t>
  </si>
  <si>
    <t>'Animal comunitário' (texto no lugar de SIM/NÃO)</t>
  </si>
  <si>
    <t>'Animal comunitário'</t>
  </si>
  <si>
    <t>Coluna texto+booleano na mesma dimensão quebra segmentação</t>
  </si>
  <si>
    <t>BI_Base separa em 'Vinculo com a Unidade' (categórico) — usar essa coluna</t>
  </si>
  <si>
    <t>Base Consolidada</t>
  </si>
  <si>
    <t>—</t>
  </si>
  <si>
    <t>'Não existe um único responsável. Essa atividade é colaborativa.'</t>
  </si>
  <si>
    <t>Campo texto livre, não agrupável</t>
  </si>
  <si>
    <t>BI_Base traz 'Responsavel (curto)' normalizado</t>
  </si>
  <si>
    <t>'Beethoven – 11 anos' (nome dentro do campo idade)</t>
  </si>
  <si>
    <t>Coluna não numérica impede média/faixa etária</t>
  </si>
  <si>
    <t>BI_Base traz 'Idade (anos)' numérica</t>
  </si>
  <si>
    <t>'1 ano e 9 meses.' (texto)</t>
  </si>
  <si>
    <t>Idem acima</t>
  </si>
  <si>
    <t>Convertido para 1,75 em 'Idade (anos)'</t>
  </si>
  <si>
    <t>'8 meses'</t>
  </si>
  <si>
    <t>Convertido para 0,67 em 'Idade (anos)'</t>
  </si>
  <si>
    <t>Vários</t>
  </si>
  <si>
    <t>Mesma raça escrita de 8 formas: 'SRD', 'Viralata', 'Sem raça definida', 'vira-lata'...</t>
  </si>
  <si>
    <t>Gráfico de raça geraria 8 fatias para o mesmo grupo</t>
  </si>
  <si>
    <t>BI_Base agrupa tudo em 'SRD'</t>
  </si>
  <si>
    <t>5.12 / 5.69</t>
  </si>
  <si>
    <t>Carteira de vacinação</t>
  </si>
  <si>
    <t>Célula vazia (sem anexo) para Nina, Nino e Negão</t>
  </si>
  <si>
    <t>Não distingue "não tem" de "não respondeu"</t>
  </si>
  <si>
    <t>BI_Base marca 'Tem Carteira Vacinacao' = 0</t>
  </si>
  <si>
    <t>Resumo</t>
  </si>
  <si>
    <t>Geral</t>
  </si>
  <si>
    <t>Contagens gerais</t>
  </si>
  <si>
    <t>16 cachorros, 13 vacinados, 13 castrados, 3 não vacinados, 3 não castrados, 5 microchipados</t>
  </si>
  <si>
    <t>Confere integralmente com a Base Consolidada</t>
  </si>
  <si>
    <t>Nenhum</t>
  </si>
  <si>
    <t>Validado — pode usar como conferência do BI</t>
  </si>
  <si>
    <t>CONFORME</t>
  </si>
  <si>
    <t>CRÍTICO</t>
  </si>
  <si>
    <t>ATENÇÃO</t>
  </si>
  <si>
    <t>https://raw.githubusercontent.com/PauloLucas94/info-cachorros-senaisp/main/fotos-pets/102%20-%20ZEUS.jpg</t>
  </si>
  <si>
    <t>https://raw.githubusercontent.com/PauloLucas94/info-cachorros-senaisp/main/fotos-pets/128%20-%20BEETHOVEN.jpg</t>
  </si>
  <si>
    <t>https://raw.githubusercontent.com/PauloLucas94/info-cachorros-senaisp/main/fotos-pets/128%20-%20NUTELLA.jpeg</t>
  </si>
  <si>
    <t>https://raw.githubusercontent.com/PauloLucas94/info-cachorros-senaisp/main/fotos-pets/136%20-%20JOS%C3%89%20EPHIM.jpeg</t>
  </si>
  <si>
    <t>https://raw.githubusercontent.com/PauloLucas94/info-cachorros-senaisp/main/fotos-pets/260%20-%20BUTTI.jpeg</t>
  </si>
  <si>
    <t>https://raw.githubusercontent.com/PauloLucas94/info-cachorros-senaisp/main/fotos-pets/301%20-%20F%C3%89LIX.jpeg</t>
  </si>
  <si>
    <t>https://raw.githubusercontent.com/PauloLucas94/info-cachorros-senaisp/main/fotos-pets/508%20-%20PRINCESA.jpeg</t>
  </si>
  <si>
    <t>https://raw.githubusercontent.com/PauloLucas94/info-cachorros-senaisp/main/fotos-pets/512%20-%20NINA.jpeg</t>
  </si>
  <si>
    <t>https://raw.githubusercontent.com/PauloLucas94/info-cachorros-senaisp/main/fotos-pets/512%20-%20NINO.jpeg</t>
  </si>
  <si>
    <t>https://raw.githubusercontent.com/PauloLucas94/info-cachorros-senaisp/main/fotos-pets/569%20-%20NEGAO.jpeg</t>
  </si>
  <si>
    <t>https://raw.githubusercontent.com/PauloLucas94/info-cachorros-senaisp/main/fotos-pets/594%20-%20CLARINHA.jpeg</t>
  </si>
  <si>
    <t>https://raw.githubusercontent.com/PauloLucas94/info-cachorros-senaisp/main/fotos-pets/594%20-%20LEIDE.jpeg</t>
  </si>
  <si>
    <t>https://raw.githubusercontent.com/PauloLucas94/info-cachorros-senaisp/main/fotos-pets/792%20-%20J%C3%89SSICA.jpeg</t>
  </si>
  <si>
    <t>https://raw.githubusercontent.com/PauloLucas94/info-cachorros-senaisp/main/fotos-pets/792%20-%20ROBERTO%20CARLOS.jpeg</t>
  </si>
  <si>
    <t>https://raw.githubusercontent.com/PauloLucas94/info-cachorros-senaisp/main/fotos-pets/914%20-%20BRANCA.jpeg</t>
  </si>
  <si>
    <t>https://raw.githubusercontent.com/PauloLucas94/info-cachorros-senaisp/main/fotos-pets/914%20-%20JUCA.jpeg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</si>
</sst>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20"/>
      <color rgb="FF1F4E78"/>
      <name val="Calibri"/>
    </font>
    <font>
      <b/>
      <sz val="13"/>
      <color rgb="FF1F4E78"/>
      <name val="Calibri"/>
    </font>
    <font>
      <sz val="12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b/>
      <sz val="10"/>
      <color rgb="FFFFFFFF"/>
      <name val="Calibri"/>
    </font>
    <font>
      <u/>
      <sz val="10"/>
      <color rgb="FF0563C1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u/>
      <sz val="10"/>
      <color rgb="FF0563C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3F6FA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3864"/>
      </patternFill>
    </fill>
    <fill>
      <patternFill patternType="solid">
        <fgColor rgb="FFFCE4E4"/>
      </patternFill>
    </fill>
    <fill>
      <patternFill patternType="solid">
        <fgColor rgb="FFE4F3E4"/>
      </patternFill>
    </fill>
    <fill>
      <patternFill patternType="solid">
        <fgColor rgb="FF1F3864"/>
      </patternFill>
    </fill>
    <fill>
      <patternFill patternType="solid">
        <fgColor rgb="FF1F3864"/>
      </patternFill>
    </fill>
  </fills>
  <borders count="16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/>
  </cellStyleXfs>
  <cellXfs count="49">
    <xf numFmtId="0" fontId="0" fillId="0" borderId="0" xfId="0"/>
    <xf numFmtId="0" fontId="5" fillId="0" borderId="0" xfId="0" applyFont="1"/>
    <xf numFmtId="0" fontId="0" fillId="0" borderId="0" xfId="0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2" xfId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8" xfId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164" fontId="0" fillId="0" borderId="13" xfId="0" applyNumberFormat="1" applyBorder="1" applyAlignment="1">
      <alignment vertical="center"/>
    </xf>
    <xf numFmtId="2" fontId="0" fillId="0" borderId="13" xfId="0" applyNumberFormat="1" applyBorder="1" applyAlignment="1">
      <alignment vertical="center"/>
    </xf>
    <xf numFmtId="165" fontId="0" fillId="0" borderId="13" xfId="0" applyNumberFormat="1" applyBorder="1" applyAlignment="1">
      <alignment vertical="center"/>
    </xf>
    <xf numFmtId="0" fontId="0" fillId="9" borderId="13" xfId="0" applyFill="1" applyBorder="1" applyAlignment="1">
      <alignment vertical="top" wrapText="1"/>
    </xf>
    <xf numFmtId="0" fontId="0" fillId="10" borderId="13" xfId="0" applyFill="1" applyBorder="1" applyAlignment="1">
      <alignment vertical="top" wrapText="1"/>
    </xf>
    <xf numFmtId="0" fontId="12" fillId="0" borderId="13" xfId="0" applyFont="1" applyBorder="1" applyAlignment="1">
      <alignment vertical="center"/>
    </xf>
    <xf numFmtId="0" fontId="0" fillId="0" borderId="13" xfId="0" applyBorder="1" applyAlignment="1">
      <alignment vertical="center" wrapText="1"/>
    </xf>
    <xf numFmtId="0" fontId="13" fillId="11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14" fillId="12" borderId="15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15" fillId="0" borderId="15" xfId="0" applyFont="1" applyBorder="1" applyAlignment="1">
      <alignment vertical="center"/>
    </xf>
    <xf numFmtId="0" fontId="6" fillId="0" borderId="0" xfId="1"/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/>
    </xf>
    <xf numFmtId="0" fontId="0" fillId="0" borderId="12" xfId="0" applyBorder="1"/>
    <xf numFmtId="0" fontId="0" fillId="3" borderId="0" xfId="0" applyFill="1" applyAlignment="1">
      <alignment vertical="top" wrapText="1"/>
    </xf>
    <xf numFmtId="0" fontId="0" fillId="0" borderId="0" xfId="0"/>
    <xf numFmtId="0" fontId="0" fillId="3" borderId="0" xfId="0" applyFill="1" applyAlignment="1">
      <alignment horizontal="left" vertical="top" wrapText="1"/>
    </xf>
    <xf numFmtId="0" fontId="2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47"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alignment horizontal="center" vertical="center"/>
    </dxf>
    <dxf>
      <border>
        <bottom style="thin">
          <color indexed="64"/>
        </bottom>
      </border>
    </dxf>
    <dxf>
      <fill>
        <patternFill patternType="solid">
          <fgColor indexed="64"/>
          <bgColor rgb="FF00206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</dxf>
    <dxf>
      <border>
        <bottom style="thin">
          <color indexed="64"/>
        </bottom>
      </border>
    </dxf>
    <dxf>
      <fill>
        <patternFill patternType="solid">
          <fgColor indexed="64"/>
          <bgColor rgb="FF002060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fill>
        <patternFill patternType="solid">
          <fgColor indexed="64"/>
          <bgColor rgb="FF002060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BaseConsolidada" displayName="TabelaBaseConsolidada" ref="A1:W17" headerRowDxfId="46" dataDxfId="44" totalsRowDxfId="42" headerRowBorderDxfId="45" tableBorderDxfId="43">
  <autoFilter ref="A1:W17" xr:uid="{00000000-0009-0000-0100-000001000000}"/>
  <sortState xmlns:xlrd2="http://schemas.microsoft.com/office/spreadsheetml/2017/richdata2" ref="A2:W17">
    <sortCondition ref="A1:A17"/>
  </sortState>
  <tableColumns count="23">
    <tableColumn id="1" xr3:uid="{00000000-0010-0000-0000-000001000000}" name="CFP" dataDxfId="41"/>
    <tableColumn id="2" xr3:uid="{00000000-0010-0000-0000-000002000000}" name="Respondente" dataDxfId="40"/>
    <tableColumn id="3" xr3:uid="{00000000-0010-0000-0000-000003000000}" name="Nome do cachorro" dataDxfId="39"/>
    <tableColumn id="4" xr3:uid="{00000000-0010-0000-0000-000004000000}" name="Sexo" dataDxfId="38"/>
    <tableColumn id="5" xr3:uid="{00000000-0010-0000-0000-000005000000}" name="Porte" dataDxfId="37"/>
    <tableColumn id="6" xr3:uid="{00000000-0010-0000-0000-000006000000}" name="Idade aproximada" dataDxfId="36"/>
    <tableColumn id="7" xr3:uid="{00000000-0010-0000-0000-000007000000}" name="Raça" dataDxfId="35"/>
    <tableColumn id="8" xr3:uid="{00000000-0010-0000-0000-000008000000}" name="Castrado" dataDxfId="34"/>
    <tableColumn id="9" xr3:uid="{00000000-0010-0000-0000-000009000000}" name="Vacinado" dataDxfId="33"/>
    <tableColumn id="24" xr3:uid="{00000000-0010-0000-0000-000018000000}" name="Microchipado" dataDxfId="32"/>
    <tableColumn id="10" xr3:uid="{00000000-0010-0000-0000-00000A000000}" name="Vacinas recebidas" dataDxfId="31"/>
    <tableColumn id="12" xr3:uid="{00000000-0010-0000-0000-00000C000000}" name="Acompanhamento veterinário" dataDxfId="30"/>
    <tableColumn id="13" xr3:uid="{00000000-0010-0000-0000-00000D000000}" name="Possui Doença/condição de saúde" dataDxfId="29"/>
    <tableColumn id="11" xr3:uid="{00000000-0010-0000-0000-00000B000000}" name="Qual Doença/condição de saúde" dataDxfId="28"/>
    <tableColumn id="14" xr3:uid="{00000000-0010-0000-0000-00000E000000}" name="Medicamento de uso contínuo" dataDxfId="27"/>
    <tableColumn id="15" xr3:uid="{00000000-0010-0000-0000-00000F000000}" name="Pertence oficialmente à unidade" dataDxfId="26"/>
    <tableColumn id="16" xr3:uid="{00000000-0010-0000-0000-000010000000}" name="Responsável pelos cuidados diários" dataDxfId="25"/>
    <tableColumn id="18" xr3:uid="{00000000-0010-0000-0000-000012000000}" name="Permanência na unidade" dataDxfId="24"/>
    <tableColumn id="19" xr3:uid="{00000000-0010-0000-0000-000013000000}" name="Possui abrigo adequado" dataDxfId="23"/>
    <tableColumn id="20" xr3:uid="{00000000-0010-0000-0000-000014000000}" name="Possui documento vinculado ao SENAI" dataDxfId="22"/>
    <tableColumn id="21" xr3:uid="{00000000-0010-0000-0000-000015000000}" name="Qual documento" dataDxfId="21"/>
    <tableColumn id="22" xr3:uid="{00000000-0010-0000-0000-000016000000}" name="Carteira vacinação" dataDxfId="20"/>
    <tableColumn id="23" xr3:uid="{00000000-0010-0000-0000-000017000000}" name="Foto atual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ResumoCFP5" displayName="TabelaResumoCFP5" ref="A1:H12" headerRowDxfId="18" dataDxfId="16" totalsRowDxfId="14" headerRowBorderDxfId="17" tableBorderDxfId="15">
  <autoFilter ref="A1:H12" xr:uid="{00000000-0009-0000-0100-000002000000}"/>
  <tableColumns count="8">
    <tableColumn id="1" xr3:uid="{00000000-0010-0000-0100-000001000000}" name="CFP" dataDxfId="13"/>
    <tableColumn id="3" xr3:uid="{00000000-0010-0000-0100-000003000000}" name="Quantidade de cachorros" dataDxfId="12"/>
    <tableColumn id="4" xr3:uid="{00000000-0010-0000-0100-000004000000}" name="Nomes" dataDxfId="11"/>
    <tableColumn id="5" xr3:uid="{00000000-0010-0000-0100-000005000000}" name="Vacinados" dataDxfId="10"/>
    <tableColumn id="7" xr3:uid="{00000000-0010-0000-0100-000007000000}" name="Castrados " dataDxfId="9"/>
    <tableColumn id="9" xr3:uid="{00000000-0010-0000-0100-000009000000}" name="Microchipados" dataDxfId="8"/>
    <tableColumn id="11" xr3:uid="{00000000-0010-0000-0100-00000B000000}" name="Com abrigo adequado" dataDxfId="7"/>
    <tableColumn id="16" xr3:uid="{00000000-0010-0000-0100-000010000000}" name="Pertence oficialmente ao SENAI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PontosAtencao" displayName="TabelaPontosAtencao" ref="A1:B10" headerRowDxfId="5" dataDxfId="3" totalsRowDxfId="2" headerRowBorderDxfId="4">
  <autoFilter ref="A1:B10" xr:uid="{00000000-0009-0000-0100-000003000000}"/>
  <sortState xmlns:xlrd2="http://schemas.microsoft.com/office/spreadsheetml/2017/richdata2" ref="A2:B10">
    <sortCondition ref="A1:A10"/>
  </sortState>
  <tableColumns count="2">
    <tableColumn id="1" xr3:uid="{00000000-0010-0000-0200-000001000000}" name="CFP" dataDxfId="1"/>
    <tableColumn id="4" xr3:uid="{00000000-0010-0000-0200-000004000000}" name="Pontos de atenção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BI_Base" displayName="tbBI_Base" ref="A1:AI17">
  <autoFilter ref="A1:AI17" xr:uid="{00000000-0009-0000-0100-000004000000}"/>
  <tableColumns count="35">
    <tableColumn id="1" xr3:uid="{00000000-0010-0000-0300-000001000000}" name="ID"/>
    <tableColumn id="2" xr3:uid="{00000000-0010-0000-0300-000002000000}" name="CFP"/>
    <tableColumn id="3" xr3:uid="{00000000-0010-0000-0300-000003000000}" name="Latitude"/>
    <tableColumn id="4" xr3:uid="{00000000-0010-0000-0300-000004000000}" name="Longitude"/>
    <tableColumn id="5" xr3:uid="{00000000-0010-0000-0300-000005000000}" name="Nome do Cachorro"/>
    <tableColumn id="6" xr3:uid="{00000000-0010-0000-0300-000006000000}" name="Sexo"/>
    <tableColumn id="7" xr3:uid="{00000000-0010-0000-0300-000007000000}" name="Porte"/>
    <tableColumn id="8" xr3:uid="{00000000-0010-0000-0300-000008000000}" name="Idade (anos)"/>
    <tableColumn id="9" xr3:uid="{00000000-0010-0000-0300-000009000000}" name="Faixa Etaria"/>
    <tableColumn id="10" xr3:uid="{00000000-0010-0000-0300-00000A000000}" name="Raca Normalizada"/>
    <tableColumn id="11" xr3:uid="{00000000-0010-0000-0300-00000B000000}" name="Castrado"/>
    <tableColumn id="12" xr3:uid="{00000000-0010-0000-0300-00000C000000}" name="Vacinado"/>
    <tableColumn id="13" xr3:uid="{00000000-0010-0000-0300-00000D000000}" name="Vacinas Recebidas"/>
    <tableColumn id="14" xr3:uid="{00000000-0010-0000-0300-00000E000000}" name="Microchipado"/>
    <tableColumn id="15" xr3:uid="{00000000-0010-0000-0300-00000F000000}" name="Abrigo Adequado"/>
    <tableColumn id="16" xr3:uid="{00000000-0010-0000-0300-000010000000}" name="Documento SENAI"/>
    <tableColumn id="17" xr3:uid="{00000000-0010-0000-0300-000011000000}" name="Qual Documento"/>
    <tableColumn id="18" xr3:uid="{00000000-0010-0000-0300-000012000000}" name="Vinculo com a Unidade"/>
    <tableColumn id="19" xr3:uid="{00000000-0010-0000-0300-000013000000}" name="Permanencia"/>
    <tableColumn id="20" xr3:uid="{00000000-0010-0000-0300-000014000000}" name="Acompanhamento Veterinario"/>
    <tableColumn id="21" xr3:uid="{00000000-0010-0000-0300-000015000000}" name="Possui Doenca"/>
    <tableColumn id="22" xr3:uid="{00000000-0010-0000-0300-000016000000}" name="Qual Doenca"/>
    <tableColumn id="23" xr3:uid="{00000000-0010-0000-0300-000017000000}" name="Medicamento Continuo"/>
    <tableColumn id="24" xr3:uid="{00000000-0010-0000-0300-000018000000}" name="Tem Carteira Vacinacao"/>
    <tableColumn id="25" xr3:uid="{00000000-0010-0000-0300-000019000000}" name="URL Carteira"/>
    <tableColumn id="26" xr3:uid="{00000000-0010-0000-0300-00001A000000}" name="URL Foto"/>
    <tableColumn id="27" xr3:uid="{00000000-0010-0000-0300-00001B000000}" name="Responsavel (curto)"/>
    <tableColumn id="28" xr3:uid="{00000000-0010-0000-0300-00001C000000}" name="Responsavel Completo"/>
    <tableColumn id="29" xr3:uid="{00000000-0010-0000-0300-00001D000000}" name="Respondente"/>
    <tableColumn id="30" xr3:uid="{00000000-0010-0000-0300-00001E000000}" name="Criterios Atendidos"/>
    <tableColumn id="31" xr3:uid="{00000000-0010-0000-0300-00001F000000}" name="Total Criterios"/>
    <tableColumn id="32" xr3:uid="{00000000-0010-0000-0300-000020000000}" name="Indice Conformidade"/>
    <tableColumn id="33" xr3:uid="{00000000-0010-0000-0300-000021000000}" name="Classificacao"/>
    <tableColumn id="34" xr3:uid="{00000000-0010-0000-0300-000022000000}" name="Qtd Pendencias"/>
    <tableColumn id="35" xr3:uid="{00000000-0010-0000-0300-000023000000}" name="Pendenc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WhatsApp%20Image%202026-06-23%20at%2020.42.22_Ana%20Silva.jpeg" TargetMode="External"/><Relationship Id="rId13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PRINCESA%20-%20que%20chegou%20para%20transformar%20a%20jorn_Ana%20Caetano.jpeg" TargetMode="External"/><Relationship Id="rId18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WhatsApp%20Image%202026-08-03%20at%2016.09.46_Israel%20Lima.jpeg" TargetMode="External"/><Relationship Id="rId26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/Foto%20Branca_Fernanda%20Breetz.jpeg" TargetMode="External"/><Relationship Id="rId3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rteira%20Vacina%C3%A7%C3%A3o%20Beethoven%20-%202026_Jones%20Ribeiro.pdf" TargetMode="External"/><Relationship Id="rId21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Roberto%20Carlos_Aline%20Silva.jpeg" TargetMode="External"/><Relationship Id="rId7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ptura%20de%20tela%202026-07-30%20161200_Ana%20Silva.png" TargetMode="External"/><Relationship Id="rId12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RTEIRA%20VACINA%C3%87%C3%83O_Ana%20Caetano.pdf" TargetMode="External"/><Relationship Id="rId17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LARA%20VACINA%C3%87%C3%83O_Israel%20Lima.pdf" TargetMode="External"/><Relationship Id="rId25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/Carteira%20de%20Vacina%C3%A7%C3%A3o%20Branca__Fernanda%20Breetz.pdf" TargetMode="External"/><Relationship Id="rId2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Zeus%201_Rosemeire%20Mendes.jpg" TargetMode="External"/><Relationship Id="rId16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Cachorro%20CFP569_Jair%20Bras.jpeg" TargetMode="External"/><Relationship Id="rId20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/WhatsApp%20Image%202026-08-03%20at%2016.10.00_Israel%20Lima.jpeg" TargetMode="External"/><Relationship Id="rId1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Vacinas%20Zeus_Rosemeire%20Mendes.jpg" TargetMode="External"/><Relationship Id="rId6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/Nutella%202026_Jones%20Ribeiro.jpeg" TargetMode="External"/><Relationship Id="rId11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WhatsApp%20Image%202026-07-30%20at%2015.18.14_Fernando%20Goncalves.jpeg" TargetMode="External"/><Relationship Id="rId24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Foto%20Branca_Fernanda%20Breetz.jpeg" TargetMode="External"/><Relationship Id="rId5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/Carteira%20de%20Vanic%C3%A7%C3%A3o%20Nutella%20-%202026_Jones%20Ribeiro.pdf" TargetMode="External"/><Relationship Id="rId15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/Nino_Marcelo%20Malosso.jpeg" TargetMode="External"/><Relationship Id="rId23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rteira%20de%20Vacina%C3%A7%C3%A3o%20Branca__Fernanda%20Breetz.pdf" TargetMode="External"/><Relationship Id="rId10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rteira%20Vacina%C3%A7%C3%A3o%20F%C3%A9lix_Fernando%20Goncalves.pdf" TargetMode="External"/><Relationship Id="rId19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/LADY%20VACINA%C3%87%C3%83O_Israel%20Lima.pdf" TargetMode="External"/><Relationship Id="rId4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Foto%20Beethoven%202026_Jones%20Ribeiro.pdf" TargetMode="External"/><Relationship Id="rId9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Foto%20Butti_Gianna%20Vittoretti%201.jpeg" TargetMode="External"/><Relationship Id="rId14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%201/Nina_Marcelo%20Malosso.jpeg" TargetMode="External"/><Relationship Id="rId22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uma%20foto%20atual%20do%20cachorro/J%C3%A9ssica%202_Aline%20Silva.jpeg" TargetMode="External"/><Relationship Id="rId27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/LADY%20VACINA%C3%87%C3%83O_Israel%20Lima.pdf" TargetMode="External"/><Relationship Id="rId13" Type="http://schemas.openxmlformats.org/officeDocument/2006/relationships/table" Target="../tables/table4.xml"/><Relationship Id="rId3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/Carteira%20de%20Vanic%C3%A7%C3%A3o%20Nutella%20-%202026_Jones%20Ribeiro.pdf" TargetMode="External"/><Relationship Id="rId7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LARA%20VACINA%C3%87%C3%83O_Israel%20Lima.pdf" TargetMode="External"/><Relationship Id="rId12" Type="http://schemas.openxmlformats.org/officeDocument/2006/relationships/hyperlink" Target="https://raw.githubusercontent.com/PauloLucas94/info-cachorros-senaisp/main/fotos-pets/512%20-%20NINA.jpeg" TargetMode="External"/><Relationship Id="rId2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rteira%20Vacina%C3%A7%C3%A3o%20Beethoven%20-%202026_Jones%20Ribeiro.pdf" TargetMode="External"/><Relationship Id="rId1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Vacinas%20Zeus_Rosemeire%20Mendes.jpg" TargetMode="External"/><Relationship Id="rId6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RTEIRA%20VACINA%C3%87%C3%83O_Ana%20Caetano.pdf" TargetMode="External"/><Relationship Id="rId11" Type="http://schemas.openxmlformats.org/officeDocument/2006/relationships/hyperlink" Target="https://raw.githubusercontent.com/PauloLucas94/info-cachorros-senaisp/main/fotos-pets/128%20-%20BEETHOVEN.jpg" TargetMode="External"/><Relationship Id="rId5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rteira%20Vacina%C3%A7%C3%A3o%20F%C3%A9lix_Fernando%20Goncalves.pdf" TargetMode="External"/><Relationship Id="rId10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/Carteira%20de%20Vacina%C3%A7%C3%A3o%20Branca__Fernanda%20Breetz.pdf" TargetMode="External"/><Relationship Id="rId4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ptura%20de%20tela%202026-07-30%20161200_Ana%20Silva.png" TargetMode="External"/><Relationship Id="rId9" Type="http://schemas.openxmlformats.org/officeDocument/2006/relationships/hyperlink" Target="https://sesisenaisp.sharepoint.com/sites/GIS/Documentos%20Compartilhados/Aplicativos/Microsoft%20Forms/Informa%C3%A7%C3%B5es%20dos%20%20%20%20%20%20%20%20%20%20%20%20%20%20%20%20cachorros/Anexe%20a%20carteira%20de%20vacina%C3%A7%C3%A3o%20(se%20houver)%201/Carteira%20de%20Vacina%C3%A7%C3%A3o%20Branca__Fernanda%20Breetz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J23"/>
  <sheetViews>
    <sheetView showGridLines="0" workbookViewId="0">
      <selection activeCell="C12" sqref="C12"/>
    </sheetView>
  </sheetViews>
  <sheetFormatPr defaultRowHeight="14.4" x14ac:dyDescent="0.3"/>
  <cols>
    <col min="1" max="8" width="22" customWidth="1"/>
  </cols>
  <sheetData>
    <row r="1" spans="1:10" s="2" customFormat="1" ht="36.6" customHeight="1" x14ac:dyDescent="0.3">
      <c r="A1" s="40" t="s">
        <v>149</v>
      </c>
      <c r="B1" s="41"/>
      <c r="C1" s="41"/>
      <c r="D1" s="41"/>
      <c r="E1" s="41"/>
      <c r="F1" s="41"/>
      <c r="G1" s="41"/>
      <c r="H1" s="41"/>
    </row>
    <row r="2" spans="1:10" x14ac:dyDescent="0.3">
      <c r="A2" s="47"/>
      <c r="B2" s="45"/>
      <c r="C2" s="45"/>
      <c r="D2" s="45"/>
      <c r="E2" s="45"/>
      <c r="F2" s="45"/>
      <c r="G2" s="45"/>
      <c r="H2" s="45"/>
    </row>
    <row r="4" spans="1:10" ht="23.4" customHeight="1" x14ac:dyDescent="0.3">
      <c r="A4" s="48" t="s">
        <v>150</v>
      </c>
      <c r="B4" s="43"/>
      <c r="D4" s="48" t="s">
        <v>151</v>
      </c>
      <c r="E4" s="43"/>
      <c r="G4" s="48" t="s">
        <v>152</v>
      </c>
      <c r="H4" s="43"/>
    </row>
    <row r="5" spans="1:10" ht="25.8" customHeight="1" x14ac:dyDescent="0.5">
      <c r="A5" s="42">
        <v>11</v>
      </c>
      <c r="B5" s="43"/>
      <c r="D5" s="42">
        <v>13</v>
      </c>
      <c r="E5" s="43"/>
      <c r="G5" s="42">
        <v>13</v>
      </c>
      <c r="H5" s="43"/>
    </row>
    <row r="7" spans="1:10" ht="23.4" customHeight="1" x14ac:dyDescent="0.3">
      <c r="A7" s="48" t="s">
        <v>153</v>
      </c>
      <c r="B7" s="43"/>
      <c r="D7" s="48" t="s">
        <v>154</v>
      </c>
      <c r="E7" s="43"/>
      <c r="G7" s="48" t="s">
        <v>155</v>
      </c>
      <c r="H7" s="43"/>
    </row>
    <row r="8" spans="1:10" ht="25.8" customHeight="1" x14ac:dyDescent="0.5">
      <c r="A8" s="42">
        <v>16</v>
      </c>
      <c r="B8" s="43"/>
      <c r="D8" s="42">
        <v>3</v>
      </c>
      <c r="E8" s="43"/>
      <c r="G8" s="42">
        <v>3</v>
      </c>
      <c r="H8" s="43"/>
    </row>
    <row r="11" spans="1:10" ht="17.399999999999999" customHeight="1" x14ac:dyDescent="0.35">
      <c r="A11" s="3" t="s">
        <v>1</v>
      </c>
      <c r="B11" s="4" t="s">
        <v>156</v>
      </c>
      <c r="C11" s="4" t="s">
        <v>157</v>
      </c>
      <c r="E11" s="1" t="s">
        <v>158</v>
      </c>
    </row>
    <row r="12" spans="1:10" x14ac:dyDescent="0.3">
      <c r="A12" s="5" t="s">
        <v>35</v>
      </c>
      <c r="B12" s="5" t="s">
        <v>159</v>
      </c>
      <c r="C12" s="6">
        <v>1</v>
      </c>
      <c r="E12" s="44" t="s">
        <v>160</v>
      </c>
      <c r="F12" s="45"/>
      <c r="G12" s="45"/>
      <c r="H12" s="45"/>
      <c r="I12" s="45"/>
      <c r="J12" s="45"/>
    </row>
    <row r="13" spans="1:10" x14ac:dyDescent="0.3">
      <c r="A13" s="5" t="s">
        <v>51</v>
      </c>
      <c r="B13" s="5" t="s">
        <v>161</v>
      </c>
      <c r="C13" s="6">
        <v>2</v>
      </c>
    </row>
    <row r="14" spans="1:10" x14ac:dyDescent="0.3">
      <c r="A14" s="5" t="s">
        <v>66</v>
      </c>
      <c r="B14" s="5" t="s">
        <v>162</v>
      </c>
      <c r="C14" s="6">
        <v>1</v>
      </c>
    </row>
    <row r="15" spans="1:10" ht="17.399999999999999" customHeight="1" x14ac:dyDescent="0.35">
      <c r="A15" s="5" t="s">
        <v>75</v>
      </c>
      <c r="B15" s="5" t="s">
        <v>163</v>
      </c>
      <c r="C15" s="6">
        <v>1</v>
      </c>
      <c r="E15" s="1" t="s">
        <v>164</v>
      </c>
    </row>
    <row r="16" spans="1:10" ht="14.4" customHeight="1" x14ac:dyDescent="0.3">
      <c r="A16" s="5" t="s">
        <v>85</v>
      </c>
      <c r="B16" s="5" t="s">
        <v>165</v>
      </c>
      <c r="C16" s="6">
        <v>1</v>
      </c>
      <c r="E16" s="46" t="s">
        <v>166</v>
      </c>
      <c r="F16" s="45"/>
      <c r="G16" s="45"/>
      <c r="H16" s="45"/>
      <c r="I16" s="45"/>
      <c r="J16" s="45"/>
    </row>
    <row r="17" spans="1:10" x14ac:dyDescent="0.3">
      <c r="A17" s="5" t="s">
        <v>92</v>
      </c>
      <c r="B17" s="5" t="s">
        <v>167</v>
      </c>
      <c r="C17" s="6">
        <v>1</v>
      </c>
      <c r="E17" s="45"/>
      <c r="F17" s="45"/>
      <c r="G17" s="45"/>
      <c r="H17" s="45"/>
      <c r="I17" s="45"/>
      <c r="J17" s="45"/>
    </row>
    <row r="18" spans="1:10" x14ac:dyDescent="0.3">
      <c r="A18" s="5" t="s">
        <v>100</v>
      </c>
      <c r="B18" s="5" t="s">
        <v>168</v>
      </c>
      <c r="C18" s="6">
        <v>2</v>
      </c>
    </row>
    <row r="19" spans="1:10" x14ac:dyDescent="0.3">
      <c r="A19" s="5" t="s">
        <v>110</v>
      </c>
      <c r="B19" s="5" t="s">
        <v>169</v>
      </c>
      <c r="C19" s="6">
        <v>1</v>
      </c>
    </row>
    <row r="20" spans="1:10" x14ac:dyDescent="0.3">
      <c r="A20" s="5" t="s">
        <v>117</v>
      </c>
      <c r="B20" s="5" t="s">
        <v>170</v>
      </c>
      <c r="C20" s="6">
        <v>2</v>
      </c>
    </row>
    <row r="21" spans="1:10" x14ac:dyDescent="0.3">
      <c r="A21" s="5" t="s">
        <v>128</v>
      </c>
      <c r="B21" s="5" t="s">
        <v>171</v>
      </c>
      <c r="C21" s="6">
        <v>2</v>
      </c>
    </row>
    <row r="22" spans="1:10" x14ac:dyDescent="0.3">
      <c r="A22" s="5" t="s">
        <v>138</v>
      </c>
      <c r="B22" s="5" t="s">
        <v>172</v>
      </c>
      <c r="C22" s="6">
        <v>2</v>
      </c>
    </row>
    <row r="23" spans="1:10" x14ac:dyDescent="0.3">
      <c r="A23" s="2"/>
      <c r="B23" s="4" t="s">
        <v>173</v>
      </c>
      <c r="C23" s="7">
        <f>SUM(C12:C22)</f>
        <v>16</v>
      </c>
    </row>
  </sheetData>
  <mergeCells count="16">
    <mergeCell ref="A1:H1"/>
    <mergeCell ref="G8:H8"/>
    <mergeCell ref="A8:B8"/>
    <mergeCell ref="E12:J12"/>
    <mergeCell ref="E16:J17"/>
    <mergeCell ref="A2:H2"/>
    <mergeCell ref="D5:E5"/>
    <mergeCell ref="A5:B5"/>
    <mergeCell ref="G5:H5"/>
    <mergeCell ref="D4:E4"/>
    <mergeCell ref="D8:E8"/>
    <mergeCell ref="G4:H4"/>
    <mergeCell ref="A4:B4"/>
    <mergeCell ref="D7:E7"/>
    <mergeCell ref="A7:B7"/>
    <mergeCell ref="G7:H7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  <pageSetUpPr fitToPage="1"/>
  </sheetPr>
  <dimension ref="A1:W17"/>
  <sheetViews>
    <sheetView workbookViewId="0">
      <pane ySplit="1" topLeftCell="A9" activePane="bottomLeft" state="frozen"/>
      <selection pane="bottomLeft" activeCell="C17" sqref="C17"/>
    </sheetView>
  </sheetViews>
  <sheetFormatPr defaultRowHeight="14.4" x14ac:dyDescent="0.3"/>
  <cols>
    <col min="1" max="1" width="10.109375" style="8" customWidth="1"/>
    <col min="2" max="2" width="19.88671875" style="8" customWidth="1"/>
    <col min="3" max="3" width="19.109375" style="8" customWidth="1"/>
    <col min="4" max="4" width="10.21875" style="8" customWidth="1"/>
    <col min="5" max="5" width="21.88671875" style="8" customWidth="1"/>
    <col min="6" max="6" width="13.109375" style="8" customWidth="1"/>
    <col min="7" max="7" width="19.33203125" style="8" customWidth="1"/>
    <col min="8" max="8" width="12" style="8" customWidth="1"/>
    <col min="9" max="9" width="10.21875" style="8" customWidth="1"/>
    <col min="10" max="10" width="12.5546875" style="8" customWidth="1"/>
    <col min="11" max="11" width="42" style="8" customWidth="1"/>
    <col min="12" max="12" width="18.109375" style="8" customWidth="1"/>
    <col min="13" max="13" width="19.44140625" style="8" customWidth="1"/>
    <col min="14" max="14" width="39.88671875" style="8" customWidth="1"/>
    <col min="15" max="15" width="18" style="8" customWidth="1"/>
    <col min="16" max="16" width="16.44140625" style="8" customWidth="1"/>
    <col min="17" max="17" width="35.33203125" style="8" customWidth="1"/>
    <col min="18" max="18" width="24" style="8" customWidth="1"/>
    <col min="19" max="19" width="10.88671875" style="8" customWidth="1"/>
    <col min="20" max="20" width="15.6640625" style="8" customWidth="1"/>
    <col min="21" max="21" width="27.88671875" style="8" customWidth="1"/>
    <col min="22" max="23" width="16" style="8" customWidth="1"/>
    <col min="24" max="26" width="8.88671875" style="8" customWidth="1"/>
    <col min="27" max="16384" width="8.88671875" style="8"/>
  </cols>
  <sheetData>
    <row r="1" spans="1:23" ht="57.6" customHeight="1" x14ac:dyDescent="0.3">
      <c r="A1" s="17" t="s">
        <v>1</v>
      </c>
      <c r="B1" s="17" t="s">
        <v>28</v>
      </c>
      <c r="C1" s="17" t="s">
        <v>174</v>
      </c>
      <c r="D1" s="17" t="s">
        <v>5</v>
      </c>
      <c r="E1" s="17" t="s">
        <v>6</v>
      </c>
      <c r="F1" s="17" t="s">
        <v>175</v>
      </c>
      <c r="G1" s="17" t="s">
        <v>176</v>
      </c>
      <c r="H1" s="17" t="s">
        <v>10</v>
      </c>
      <c r="I1" s="17" t="s">
        <v>11</v>
      </c>
      <c r="J1" s="17" t="s">
        <v>13</v>
      </c>
      <c r="K1" s="17" t="s">
        <v>177</v>
      </c>
      <c r="L1" s="17" t="s">
        <v>178</v>
      </c>
      <c r="M1" s="18" t="s">
        <v>179</v>
      </c>
      <c r="N1" s="18" t="s">
        <v>180</v>
      </c>
      <c r="O1" s="18" t="s">
        <v>181</v>
      </c>
      <c r="P1" s="17" t="s">
        <v>182</v>
      </c>
      <c r="Q1" s="18" t="s">
        <v>183</v>
      </c>
      <c r="R1" s="17" t="s">
        <v>184</v>
      </c>
      <c r="S1" s="18" t="s">
        <v>185</v>
      </c>
      <c r="T1" s="18" t="s">
        <v>186</v>
      </c>
      <c r="U1" s="17" t="s">
        <v>187</v>
      </c>
      <c r="V1" s="17" t="s">
        <v>188</v>
      </c>
      <c r="W1" s="17" t="s">
        <v>189</v>
      </c>
    </row>
    <row r="2" spans="1:23" ht="28.8" customHeight="1" x14ac:dyDescent="0.3">
      <c r="A2" s="11" t="s">
        <v>35</v>
      </c>
      <c r="B2" s="12" t="s">
        <v>49</v>
      </c>
      <c r="C2" s="12" t="s">
        <v>36</v>
      </c>
      <c r="D2" s="12" t="s">
        <v>37</v>
      </c>
      <c r="E2" s="12" t="s">
        <v>190</v>
      </c>
      <c r="F2" s="12" t="s">
        <v>191</v>
      </c>
      <c r="G2" s="12" t="s">
        <v>40</v>
      </c>
      <c r="H2" s="12" t="s">
        <v>192</v>
      </c>
      <c r="I2" s="12" t="s">
        <v>192</v>
      </c>
      <c r="J2" s="12" t="s">
        <v>192</v>
      </c>
      <c r="K2" s="12" t="s">
        <v>41</v>
      </c>
      <c r="L2" s="12" t="s">
        <v>45</v>
      </c>
      <c r="M2" s="12" t="s">
        <v>193</v>
      </c>
      <c r="N2" s="12"/>
      <c r="O2" s="12" t="s">
        <v>193</v>
      </c>
      <c r="P2" s="12" t="s">
        <v>192</v>
      </c>
      <c r="Q2" s="12" t="s">
        <v>48</v>
      </c>
      <c r="R2" s="12" t="s">
        <v>194</v>
      </c>
      <c r="S2" s="12" t="s">
        <v>192</v>
      </c>
      <c r="T2" s="12" t="s">
        <v>192</v>
      </c>
      <c r="U2" s="12" t="s">
        <v>42</v>
      </c>
      <c r="V2" s="13" t="s">
        <v>195</v>
      </c>
      <c r="W2" s="13" t="s">
        <v>195</v>
      </c>
    </row>
    <row r="3" spans="1:23" ht="43.2" customHeight="1" x14ac:dyDescent="0.3">
      <c r="A3" s="11" t="s">
        <v>51</v>
      </c>
      <c r="B3" s="12" t="s">
        <v>61</v>
      </c>
      <c r="C3" s="12" t="s">
        <v>52</v>
      </c>
      <c r="D3" s="12" t="s">
        <v>37</v>
      </c>
      <c r="E3" s="12" t="s">
        <v>196</v>
      </c>
      <c r="F3" s="12" t="s">
        <v>197</v>
      </c>
      <c r="G3" s="12" t="s">
        <v>198</v>
      </c>
      <c r="H3" s="12" t="s">
        <v>192</v>
      </c>
      <c r="I3" s="12" t="s">
        <v>192</v>
      </c>
      <c r="J3" s="12" t="s">
        <v>192</v>
      </c>
      <c r="K3" s="12" t="s">
        <v>55</v>
      </c>
      <c r="L3" s="12" t="s">
        <v>57</v>
      </c>
      <c r="M3" s="12" t="s">
        <v>193</v>
      </c>
      <c r="N3" s="12"/>
      <c r="O3" s="12" t="s">
        <v>193</v>
      </c>
      <c r="P3" s="12" t="s">
        <v>192</v>
      </c>
      <c r="Q3" s="12" t="s">
        <v>60</v>
      </c>
      <c r="R3" s="12" t="s">
        <v>194</v>
      </c>
      <c r="S3" s="12" t="s">
        <v>192</v>
      </c>
      <c r="T3" s="12" t="s">
        <v>192</v>
      </c>
      <c r="U3" s="12" t="s">
        <v>56</v>
      </c>
      <c r="V3" s="13" t="s">
        <v>195</v>
      </c>
      <c r="W3" s="13" t="s">
        <v>195</v>
      </c>
    </row>
    <row r="4" spans="1:23" ht="43.2" customHeight="1" x14ac:dyDescent="0.3">
      <c r="A4" s="11" t="s">
        <v>51</v>
      </c>
      <c r="B4" s="12" t="s">
        <v>61</v>
      </c>
      <c r="C4" s="12" t="s">
        <v>62</v>
      </c>
      <c r="D4" s="12" t="s">
        <v>37</v>
      </c>
      <c r="E4" s="12" t="s">
        <v>199</v>
      </c>
      <c r="F4" s="12" t="s">
        <v>200</v>
      </c>
      <c r="G4" s="12" t="s">
        <v>198</v>
      </c>
      <c r="H4" s="12" t="s">
        <v>192</v>
      </c>
      <c r="I4" s="12" t="s">
        <v>192</v>
      </c>
      <c r="J4" s="12" t="s">
        <v>192</v>
      </c>
      <c r="K4" s="12" t="s">
        <v>55</v>
      </c>
      <c r="L4" s="12" t="s">
        <v>57</v>
      </c>
      <c r="M4" s="12" t="s">
        <v>193</v>
      </c>
      <c r="N4" s="12"/>
      <c r="O4" s="12" t="s">
        <v>193</v>
      </c>
      <c r="P4" s="12" t="s">
        <v>192</v>
      </c>
      <c r="Q4" s="12" t="s">
        <v>60</v>
      </c>
      <c r="R4" s="12" t="s">
        <v>194</v>
      </c>
      <c r="S4" s="12" t="s">
        <v>192</v>
      </c>
      <c r="T4" s="12" t="s">
        <v>192</v>
      </c>
      <c r="U4" s="12" t="s">
        <v>56</v>
      </c>
      <c r="V4" s="13" t="s">
        <v>195</v>
      </c>
      <c r="W4" s="13" t="s">
        <v>195</v>
      </c>
    </row>
    <row r="5" spans="1:23" ht="154.80000000000001" customHeight="1" x14ac:dyDescent="0.3">
      <c r="A5" s="11" t="s">
        <v>66</v>
      </c>
      <c r="B5" s="12" t="s">
        <v>73</v>
      </c>
      <c r="C5" s="12" t="s">
        <v>67</v>
      </c>
      <c r="D5" s="12" t="s">
        <v>37</v>
      </c>
      <c r="E5" s="12" t="s">
        <v>190</v>
      </c>
      <c r="F5" s="12" t="s">
        <v>201</v>
      </c>
      <c r="G5" s="12" t="s">
        <v>202</v>
      </c>
      <c r="H5" s="12" t="s">
        <v>192</v>
      </c>
      <c r="I5" s="12" t="s">
        <v>192</v>
      </c>
      <c r="J5" s="12" t="s">
        <v>193</v>
      </c>
      <c r="K5" s="12" t="s">
        <v>69</v>
      </c>
      <c r="L5" s="12" t="s">
        <v>45</v>
      </c>
      <c r="M5" s="12" t="s">
        <v>193</v>
      </c>
      <c r="N5" s="12"/>
      <c r="O5" s="12" t="s">
        <v>193</v>
      </c>
      <c r="P5" s="12" t="s">
        <v>192</v>
      </c>
      <c r="Q5" s="12" t="s">
        <v>72</v>
      </c>
      <c r="R5" s="12" t="s">
        <v>194</v>
      </c>
      <c r="S5" s="12" t="s">
        <v>192</v>
      </c>
      <c r="T5" s="12" t="s">
        <v>193</v>
      </c>
      <c r="U5" s="12"/>
      <c r="V5" s="13" t="s">
        <v>195</v>
      </c>
      <c r="W5" s="13" t="s">
        <v>195</v>
      </c>
    </row>
    <row r="6" spans="1:23" ht="43.2" customHeight="1" x14ac:dyDescent="0.3">
      <c r="A6" s="11" t="s">
        <v>75</v>
      </c>
      <c r="B6" s="12" t="s">
        <v>83</v>
      </c>
      <c r="C6" s="12" t="s">
        <v>76</v>
      </c>
      <c r="D6" s="12" t="s">
        <v>37</v>
      </c>
      <c r="E6" s="12" t="s">
        <v>199</v>
      </c>
      <c r="F6" s="12" t="s">
        <v>203</v>
      </c>
      <c r="G6" s="12" t="s">
        <v>204</v>
      </c>
      <c r="H6" s="12" t="s">
        <v>193</v>
      </c>
      <c r="I6" s="12" t="s">
        <v>192</v>
      </c>
      <c r="J6" s="12" t="s">
        <v>193</v>
      </c>
      <c r="K6" s="12" t="s">
        <v>78</v>
      </c>
      <c r="L6" s="12" t="s">
        <v>57</v>
      </c>
      <c r="M6" s="12" t="s">
        <v>193</v>
      </c>
      <c r="N6" s="12"/>
      <c r="O6" s="12" t="s">
        <v>193</v>
      </c>
      <c r="P6" s="12" t="s">
        <v>192</v>
      </c>
      <c r="Q6" s="12" t="s">
        <v>82</v>
      </c>
      <c r="R6" s="12" t="s">
        <v>79</v>
      </c>
      <c r="S6" s="12" t="s">
        <v>193</v>
      </c>
      <c r="T6" s="12" t="s">
        <v>193</v>
      </c>
      <c r="U6" s="12"/>
      <c r="V6" s="12"/>
      <c r="W6" s="13" t="s">
        <v>195</v>
      </c>
    </row>
    <row r="7" spans="1:23" ht="72" customHeight="1" x14ac:dyDescent="0.3">
      <c r="A7" s="11" t="s">
        <v>85</v>
      </c>
      <c r="B7" s="12" t="s">
        <v>91</v>
      </c>
      <c r="C7" s="12" t="s">
        <v>86</v>
      </c>
      <c r="D7" s="12" t="s">
        <v>37</v>
      </c>
      <c r="E7" s="12" t="s">
        <v>196</v>
      </c>
      <c r="F7" s="12" t="s">
        <v>201</v>
      </c>
      <c r="G7" s="12" t="s">
        <v>205</v>
      </c>
      <c r="H7" s="12" t="s">
        <v>192</v>
      </c>
      <c r="I7" s="12" t="s">
        <v>192</v>
      </c>
      <c r="J7" s="12" t="s">
        <v>193</v>
      </c>
      <c r="K7" s="12" t="s">
        <v>87</v>
      </c>
      <c r="L7" s="12" t="s">
        <v>45</v>
      </c>
      <c r="M7" s="12" t="s">
        <v>193</v>
      </c>
      <c r="N7" s="12"/>
      <c r="O7" s="12" t="s">
        <v>193</v>
      </c>
      <c r="P7" s="12" t="s">
        <v>192</v>
      </c>
      <c r="Q7" s="12" t="s">
        <v>206</v>
      </c>
      <c r="R7" s="12" t="s">
        <v>194</v>
      </c>
      <c r="S7" s="12" t="s">
        <v>192</v>
      </c>
      <c r="T7" s="12" t="s">
        <v>193</v>
      </c>
      <c r="U7" s="12"/>
      <c r="V7" s="13" t="s">
        <v>195</v>
      </c>
      <c r="W7" s="13" t="s">
        <v>195</v>
      </c>
    </row>
    <row r="8" spans="1:23" ht="129.6" customHeight="1" x14ac:dyDescent="0.3">
      <c r="A8" s="11" t="s">
        <v>92</v>
      </c>
      <c r="B8" s="12" t="s">
        <v>99</v>
      </c>
      <c r="C8" s="12" t="s">
        <v>93</v>
      </c>
      <c r="D8" s="12" t="s">
        <v>94</v>
      </c>
      <c r="E8" s="12" t="s">
        <v>196</v>
      </c>
      <c r="F8" s="12" t="s">
        <v>207</v>
      </c>
      <c r="G8" s="12" t="s">
        <v>208</v>
      </c>
      <c r="H8" s="12" t="s">
        <v>192</v>
      </c>
      <c r="I8" s="12" t="s">
        <v>192</v>
      </c>
      <c r="J8" s="12" t="s">
        <v>193</v>
      </c>
      <c r="K8" s="12" t="s">
        <v>95</v>
      </c>
      <c r="L8" s="12" t="s">
        <v>57</v>
      </c>
      <c r="M8" s="12" t="s">
        <v>193</v>
      </c>
      <c r="N8" s="12"/>
      <c r="O8" s="12" t="s">
        <v>193</v>
      </c>
      <c r="P8" s="12" t="s">
        <v>192</v>
      </c>
      <c r="Q8" s="12" t="s">
        <v>98</v>
      </c>
      <c r="R8" s="12" t="s">
        <v>194</v>
      </c>
      <c r="S8" s="12" t="s">
        <v>192</v>
      </c>
      <c r="T8" s="12" t="s">
        <v>193</v>
      </c>
      <c r="U8" s="12"/>
      <c r="V8" s="13" t="s">
        <v>195</v>
      </c>
      <c r="W8" s="13" t="s">
        <v>195</v>
      </c>
    </row>
    <row r="9" spans="1:23" ht="28.8" customHeight="1" x14ac:dyDescent="0.3">
      <c r="A9" s="11" t="s">
        <v>100</v>
      </c>
      <c r="B9" s="12" t="s">
        <v>106</v>
      </c>
      <c r="C9" s="12" t="s">
        <v>101</v>
      </c>
      <c r="D9" s="12" t="s">
        <v>94</v>
      </c>
      <c r="E9" s="12" t="s">
        <v>196</v>
      </c>
      <c r="F9" s="12" t="s">
        <v>209</v>
      </c>
      <c r="G9" s="12" t="s">
        <v>210</v>
      </c>
      <c r="H9" s="12" t="s">
        <v>192</v>
      </c>
      <c r="I9" s="12" t="s">
        <v>193</v>
      </c>
      <c r="J9" s="12" t="s">
        <v>193</v>
      </c>
      <c r="K9" s="12"/>
      <c r="L9" s="12" t="s">
        <v>57</v>
      </c>
      <c r="M9" s="12" t="s">
        <v>193</v>
      </c>
      <c r="N9" s="12"/>
      <c r="O9" s="12" t="s">
        <v>193</v>
      </c>
      <c r="P9" s="12" t="s">
        <v>193</v>
      </c>
      <c r="Q9" s="12" t="s">
        <v>105</v>
      </c>
      <c r="R9" s="12" t="s">
        <v>103</v>
      </c>
      <c r="S9" s="12" t="s">
        <v>193</v>
      </c>
      <c r="T9" s="12" t="s">
        <v>193</v>
      </c>
      <c r="U9" s="12"/>
      <c r="V9" s="12"/>
      <c r="W9" s="13" t="s">
        <v>195</v>
      </c>
    </row>
    <row r="10" spans="1:23" ht="28.8" customHeight="1" x14ac:dyDescent="0.3">
      <c r="A10" s="11" t="s">
        <v>100</v>
      </c>
      <c r="B10" s="12" t="s">
        <v>106</v>
      </c>
      <c r="C10" s="12" t="s">
        <v>108</v>
      </c>
      <c r="D10" s="12" t="s">
        <v>37</v>
      </c>
      <c r="E10" s="12" t="s">
        <v>196</v>
      </c>
      <c r="F10" s="12" t="s">
        <v>211</v>
      </c>
      <c r="G10" s="12" t="s">
        <v>210</v>
      </c>
      <c r="H10" s="12" t="s">
        <v>193</v>
      </c>
      <c r="I10" s="12" t="s">
        <v>193</v>
      </c>
      <c r="J10" s="12" t="s">
        <v>193</v>
      </c>
      <c r="K10" s="12"/>
      <c r="L10" s="12" t="s">
        <v>57</v>
      </c>
      <c r="M10" s="12" t="s">
        <v>193</v>
      </c>
      <c r="N10" s="12"/>
      <c r="O10" s="12" t="s">
        <v>193</v>
      </c>
      <c r="P10" s="12" t="s">
        <v>193</v>
      </c>
      <c r="Q10" s="12" t="s">
        <v>105</v>
      </c>
      <c r="R10" s="12" t="s">
        <v>103</v>
      </c>
      <c r="S10" s="12" t="s">
        <v>193</v>
      </c>
      <c r="T10" s="12" t="s">
        <v>193</v>
      </c>
      <c r="U10" s="12"/>
      <c r="V10" s="12"/>
      <c r="W10" s="13" t="s">
        <v>195</v>
      </c>
    </row>
    <row r="11" spans="1:23" ht="43.2" customHeight="1" x14ac:dyDescent="0.3">
      <c r="A11" s="11" t="s">
        <v>110</v>
      </c>
      <c r="B11" s="12" t="s">
        <v>115</v>
      </c>
      <c r="C11" s="12" t="s">
        <v>111</v>
      </c>
      <c r="D11" s="12" t="s">
        <v>37</v>
      </c>
      <c r="E11" s="12" t="s">
        <v>196</v>
      </c>
      <c r="F11" s="12" t="s">
        <v>191</v>
      </c>
      <c r="G11" s="12" t="s">
        <v>212</v>
      </c>
      <c r="H11" s="12" t="s">
        <v>193</v>
      </c>
      <c r="I11" s="12" t="s">
        <v>193</v>
      </c>
      <c r="J11" s="12" t="s">
        <v>193</v>
      </c>
      <c r="K11" s="12"/>
      <c r="L11" s="12" t="s">
        <v>57</v>
      </c>
      <c r="M11" s="12" t="s">
        <v>193</v>
      </c>
      <c r="N11" s="12"/>
      <c r="O11" s="12" t="s">
        <v>193</v>
      </c>
      <c r="P11" s="12" t="s">
        <v>112</v>
      </c>
      <c r="Q11" s="12" t="s">
        <v>114</v>
      </c>
      <c r="R11" s="12" t="s">
        <v>103</v>
      </c>
      <c r="S11" s="12" t="s">
        <v>192</v>
      </c>
      <c r="T11" s="12" t="s">
        <v>193</v>
      </c>
      <c r="U11" s="12"/>
      <c r="V11" s="12"/>
      <c r="W11" s="13" t="s">
        <v>195</v>
      </c>
    </row>
    <row r="12" spans="1:23" ht="57.6" customHeight="1" x14ac:dyDescent="0.3">
      <c r="A12" s="11" t="s">
        <v>117</v>
      </c>
      <c r="B12" s="12" t="s">
        <v>123</v>
      </c>
      <c r="C12" s="12" t="s">
        <v>118</v>
      </c>
      <c r="D12" s="12" t="s">
        <v>94</v>
      </c>
      <c r="E12" s="12" t="s">
        <v>196</v>
      </c>
      <c r="F12" s="12" t="s">
        <v>213</v>
      </c>
      <c r="G12" s="12" t="s">
        <v>214</v>
      </c>
      <c r="H12" s="12" t="s">
        <v>192</v>
      </c>
      <c r="I12" s="12" t="s">
        <v>192</v>
      </c>
      <c r="J12" s="12" t="s">
        <v>193</v>
      </c>
      <c r="K12" s="12" t="s">
        <v>119</v>
      </c>
      <c r="L12" s="12" t="s">
        <v>57</v>
      </c>
      <c r="M12" s="12" t="s">
        <v>193</v>
      </c>
      <c r="N12" s="12"/>
      <c r="O12" s="12" t="s">
        <v>193</v>
      </c>
      <c r="P12" s="12" t="s">
        <v>192</v>
      </c>
      <c r="Q12" s="12" t="s">
        <v>122</v>
      </c>
      <c r="R12" s="12" t="s">
        <v>194</v>
      </c>
      <c r="S12" s="12" t="s">
        <v>192</v>
      </c>
      <c r="T12" s="12" t="s">
        <v>193</v>
      </c>
      <c r="U12" s="12"/>
      <c r="V12" s="13" t="s">
        <v>195</v>
      </c>
      <c r="W12" s="13" t="s">
        <v>195</v>
      </c>
    </row>
    <row r="13" spans="1:23" ht="57.6" customHeight="1" x14ac:dyDescent="0.3">
      <c r="A13" s="11" t="s">
        <v>117</v>
      </c>
      <c r="B13" s="12" t="s">
        <v>123</v>
      </c>
      <c r="C13" s="12" t="s">
        <v>124</v>
      </c>
      <c r="D13" s="12" t="s">
        <v>94</v>
      </c>
      <c r="E13" s="12" t="s">
        <v>196</v>
      </c>
      <c r="F13" s="12" t="s">
        <v>215</v>
      </c>
      <c r="G13" s="12" t="s">
        <v>216</v>
      </c>
      <c r="H13" s="12" t="s">
        <v>192</v>
      </c>
      <c r="I13" s="12" t="s">
        <v>192</v>
      </c>
      <c r="J13" s="12" t="s">
        <v>193</v>
      </c>
      <c r="K13" s="12" t="s">
        <v>119</v>
      </c>
      <c r="L13" s="12" t="s">
        <v>57</v>
      </c>
      <c r="M13" s="12" t="s">
        <v>193</v>
      </c>
      <c r="N13" s="12"/>
      <c r="O13" s="12" t="s">
        <v>193</v>
      </c>
      <c r="P13" s="12" t="s">
        <v>192</v>
      </c>
      <c r="Q13" s="12" t="s">
        <v>127</v>
      </c>
      <c r="R13" s="12" t="s">
        <v>194</v>
      </c>
      <c r="S13" s="12" t="s">
        <v>192</v>
      </c>
      <c r="T13" s="12" t="s">
        <v>193</v>
      </c>
      <c r="U13" s="12"/>
      <c r="V13" s="13" t="s">
        <v>195</v>
      </c>
      <c r="W13" s="13" t="s">
        <v>195</v>
      </c>
    </row>
    <row r="14" spans="1:23" ht="129.6" customHeight="1" x14ac:dyDescent="0.3">
      <c r="A14" s="11" t="s">
        <v>128</v>
      </c>
      <c r="B14" s="12" t="s">
        <v>134</v>
      </c>
      <c r="C14" s="12" t="s">
        <v>129</v>
      </c>
      <c r="D14" s="12" t="s">
        <v>37</v>
      </c>
      <c r="E14" s="12" t="s">
        <v>196</v>
      </c>
      <c r="F14" s="12" t="s">
        <v>200</v>
      </c>
      <c r="G14" s="12" t="s">
        <v>217</v>
      </c>
      <c r="H14" s="12" t="s">
        <v>192</v>
      </c>
      <c r="I14" s="12" t="s">
        <v>192</v>
      </c>
      <c r="J14" s="12" t="s">
        <v>193</v>
      </c>
      <c r="K14" s="12" t="s">
        <v>130</v>
      </c>
      <c r="L14" s="12" t="s">
        <v>57</v>
      </c>
      <c r="M14" s="12" t="s">
        <v>192</v>
      </c>
      <c r="N14" s="12" t="s">
        <v>131</v>
      </c>
      <c r="O14" s="12" t="s">
        <v>193</v>
      </c>
      <c r="P14" s="12" t="s">
        <v>192</v>
      </c>
      <c r="Q14" s="12" t="s">
        <v>133</v>
      </c>
      <c r="R14" s="12" t="s">
        <v>194</v>
      </c>
      <c r="S14" s="12" t="s">
        <v>192</v>
      </c>
      <c r="T14" s="12" t="s">
        <v>193</v>
      </c>
      <c r="U14" s="12"/>
      <c r="V14" s="12"/>
      <c r="W14" s="13" t="s">
        <v>195</v>
      </c>
    </row>
    <row r="15" spans="1:23" ht="28.8" customHeight="1" x14ac:dyDescent="0.3">
      <c r="A15" s="11" t="s">
        <v>128</v>
      </c>
      <c r="B15" s="12" t="s">
        <v>134</v>
      </c>
      <c r="C15" s="12" t="s">
        <v>135</v>
      </c>
      <c r="D15" s="12" t="s">
        <v>94</v>
      </c>
      <c r="E15" s="12" t="s">
        <v>196</v>
      </c>
      <c r="F15" s="12" t="s">
        <v>218</v>
      </c>
      <c r="G15" s="12" t="s">
        <v>217</v>
      </c>
      <c r="H15" s="12" t="s">
        <v>192</v>
      </c>
      <c r="I15" s="12" t="s">
        <v>192</v>
      </c>
      <c r="J15" s="12" t="s">
        <v>193</v>
      </c>
      <c r="K15" s="12" t="s">
        <v>130</v>
      </c>
      <c r="L15" s="12" t="s">
        <v>57</v>
      </c>
      <c r="M15" s="12" t="s">
        <v>193</v>
      </c>
      <c r="N15" s="12"/>
      <c r="O15" s="12" t="s">
        <v>193</v>
      </c>
      <c r="P15" s="12" t="s">
        <v>192</v>
      </c>
      <c r="Q15" s="12" t="s">
        <v>137</v>
      </c>
      <c r="R15" s="12" t="s">
        <v>194</v>
      </c>
      <c r="S15" s="12" t="s">
        <v>192</v>
      </c>
      <c r="T15" s="12" t="s">
        <v>193</v>
      </c>
      <c r="U15" s="12"/>
      <c r="V15" s="12"/>
      <c r="W15" s="13" t="s">
        <v>195</v>
      </c>
    </row>
    <row r="16" spans="1:23" ht="28.8" customHeight="1" x14ac:dyDescent="0.3">
      <c r="A16" s="11" t="s">
        <v>138</v>
      </c>
      <c r="B16" s="12" t="s">
        <v>144</v>
      </c>
      <c r="C16" s="12" t="s">
        <v>139</v>
      </c>
      <c r="D16" s="12" t="s">
        <v>37</v>
      </c>
      <c r="E16" s="12" t="s">
        <v>196</v>
      </c>
      <c r="F16" s="12" t="s">
        <v>219</v>
      </c>
      <c r="G16" s="12" t="s">
        <v>220</v>
      </c>
      <c r="H16" s="12" t="s">
        <v>192</v>
      </c>
      <c r="I16" s="12" t="s">
        <v>192</v>
      </c>
      <c r="J16" s="12" t="s">
        <v>192</v>
      </c>
      <c r="K16" s="12" t="s">
        <v>140</v>
      </c>
      <c r="L16" s="12" t="s">
        <v>57</v>
      </c>
      <c r="M16" s="12" t="s">
        <v>193</v>
      </c>
      <c r="N16" s="12"/>
      <c r="O16" s="12" t="s">
        <v>193</v>
      </c>
      <c r="P16" s="12" t="s">
        <v>192</v>
      </c>
      <c r="Q16" s="12" t="s">
        <v>143</v>
      </c>
      <c r="R16" s="12" t="s">
        <v>194</v>
      </c>
      <c r="S16" s="12" t="s">
        <v>192</v>
      </c>
      <c r="T16" s="12" t="s">
        <v>193</v>
      </c>
      <c r="U16" s="12"/>
      <c r="V16" s="13" t="s">
        <v>195</v>
      </c>
      <c r="W16" s="13" t="s">
        <v>195</v>
      </c>
    </row>
    <row r="17" spans="1:23" ht="28.8" customHeight="1" x14ac:dyDescent="0.3">
      <c r="A17" s="14" t="s">
        <v>138</v>
      </c>
      <c r="B17" s="15" t="s">
        <v>144</v>
      </c>
      <c r="C17" s="15" t="s">
        <v>146</v>
      </c>
      <c r="D17" s="15" t="s">
        <v>94</v>
      </c>
      <c r="E17" s="12" t="s">
        <v>196</v>
      </c>
      <c r="F17" s="15" t="s">
        <v>221</v>
      </c>
      <c r="G17" s="15" t="s">
        <v>222</v>
      </c>
      <c r="H17" s="15" t="s">
        <v>192</v>
      </c>
      <c r="I17" s="15" t="s">
        <v>192</v>
      </c>
      <c r="J17" s="15" t="s">
        <v>192</v>
      </c>
      <c r="K17" s="15" t="s">
        <v>147</v>
      </c>
      <c r="L17" s="15" t="s">
        <v>57</v>
      </c>
      <c r="M17" s="15" t="s">
        <v>193</v>
      </c>
      <c r="N17" s="15"/>
      <c r="O17" s="15" t="s">
        <v>193</v>
      </c>
      <c r="P17" s="15" t="s">
        <v>192</v>
      </c>
      <c r="Q17" s="15" t="s">
        <v>143</v>
      </c>
      <c r="R17" s="15" t="s">
        <v>194</v>
      </c>
      <c r="S17" s="15" t="s">
        <v>192</v>
      </c>
      <c r="T17" s="15" t="s">
        <v>193</v>
      </c>
      <c r="U17" s="15"/>
      <c r="V17" s="22" t="s">
        <v>195</v>
      </c>
      <c r="W17" s="22" t="s">
        <v>195</v>
      </c>
    </row>
  </sheetData>
  <hyperlinks>
    <hyperlink ref="V2" r:id="rId1" xr:uid="{00000000-0004-0000-0100-000000000000}"/>
    <hyperlink ref="W2" r:id="rId2" xr:uid="{00000000-0004-0000-0100-000001000000}"/>
    <hyperlink ref="V3" r:id="rId3" xr:uid="{00000000-0004-0000-0100-000002000000}"/>
    <hyperlink ref="W3" r:id="rId4" xr:uid="{00000000-0004-0000-0100-000003000000}"/>
    <hyperlink ref="V4" r:id="rId5" xr:uid="{00000000-0004-0000-0100-000004000000}"/>
    <hyperlink ref="W4" r:id="rId6" xr:uid="{00000000-0004-0000-0100-000005000000}"/>
    <hyperlink ref="V5" r:id="rId7" xr:uid="{00000000-0004-0000-0100-000006000000}"/>
    <hyperlink ref="W5" r:id="rId8" xr:uid="{00000000-0004-0000-0100-000007000000}"/>
    <hyperlink ref="W6" r:id="rId9" xr:uid="{00000000-0004-0000-0100-000008000000}"/>
    <hyperlink ref="V7" r:id="rId10" xr:uid="{00000000-0004-0000-0100-000009000000}"/>
    <hyperlink ref="W7" r:id="rId11" xr:uid="{00000000-0004-0000-0100-00000A000000}"/>
    <hyperlink ref="V8" r:id="rId12" xr:uid="{00000000-0004-0000-0100-00000B000000}"/>
    <hyperlink ref="W8" r:id="rId13" xr:uid="{00000000-0004-0000-0100-00000C000000}"/>
    <hyperlink ref="W9" r:id="rId14" xr:uid="{00000000-0004-0000-0100-00000D000000}"/>
    <hyperlink ref="W10" r:id="rId15" xr:uid="{00000000-0004-0000-0100-00000E000000}"/>
    <hyperlink ref="W11" r:id="rId16" xr:uid="{00000000-0004-0000-0100-00000F000000}"/>
    <hyperlink ref="V12" r:id="rId17" xr:uid="{00000000-0004-0000-0100-000010000000}"/>
    <hyperlink ref="W12" r:id="rId18" xr:uid="{00000000-0004-0000-0100-000011000000}"/>
    <hyperlink ref="V13" r:id="rId19" xr:uid="{00000000-0004-0000-0100-000012000000}"/>
    <hyperlink ref="W13" r:id="rId20" xr:uid="{00000000-0004-0000-0100-000013000000}"/>
    <hyperlink ref="W14" r:id="rId21" xr:uid="{00000000-0004-0000-0100-000014000000}"/>
    <hyperlink ref="W15" r:id="rId22" xr:uid="{00000000-0004-0000-0100-000015000000}"/>
    <hyperlink ref="V16" r:id="rId23" xr:uid="{00000000-0004-0000-0100-000016000000}"/>
    <hyperlink ref="W16" r:id="rId24" xr:uid="{00000000-0004-0000-0100-000017000000}"/>
    <hyperlink ref="V17" r:id="rId25" xr:uid="{00000000-0004-0000-0100-000018000000}"/>
    <hyperlink ref="W17" r:id="rId26" xr:uid="{00000000-0004-0000-0100-000019000000}"/>
  </hyperlinks>
  <pageMargins left="0.75" right="0.75" top="1" bottom="1" header="0.5" footer="0.5"/>
  <pageSetup fitToHeight="0" orientation="landscape"/>
  <tableParts count="1">
    <tablePart r:id="rId2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  <pageSetUpPr fitToPage="1"/>
  </sheetPr>
  <dimension ref="A1:H12"/>
  <sheetViews>
    <sheetView workbookViewId="0">
      <pane ySplit="1" topLeftCell="A2" activePane="bottomLeft" state="frozen"/>
      <selection pane="bottomLeft" activeCell="J5" sqref="J5"/>
    </sheetView>
  </sheetViews>
  <sheetFormatPr defaultRowHeight="14.4" x14ac:dyDescent="0.3"/>
  <cols>
    <col min="1" max="1" width="10" customWidth="1"/>
    <col min="2" max="2" width="14.5546875" customWidth="1"/>
    <col min="3" max="3" width="18.77734375" customWidth="1"/>
    <col min="4" max="4" width="12.88671875" customWidth="1"/>
    <col min="5" max="5" width="18" customWidth="1"/>
    <col min="6" max="6" width="14" customWidth="1"/>
    <col min="7" max="7" width="14.77734375" customWidth="1"/>
    <col min="8" max="8" width="15.44140625" customWidth="1"/>
  </cols>
  <sheetData>
    <row r="1" spans="1:8" ht="43.2" customHeight="1" x14ac:dyDescent="0.3">
      <c r="A1" s="9" t="s">
        <v>1</v>
      </c>
      <c r="B1" s="10" t="s">
        <v>223</v>
      </c>
      <c r="C1" s="10" t="s">
        <v>224</v>
      </c>
      <c r="D1" s="10" t="s">
        <v>225</v>
      </c>
      <c r="E1" s="16" t="s">
        <v>226</v>
      </c>
      <c r="F1" s="10" t="s">
        <v>227</v>
      </c>
      <c r="G1" s="10" t="s">
        <v>228</v>
      </c>
      <c r="H1" s="19" t="s">
        <v>229</v>
      </c>
    </row>
    <row r="2" spans="1:8" s="8" customFormat="1" ht="25.2" customHeight="1" x14ac:dyDescent="0.3">
      <c r="A2" s="11" t="s">
        <v>35</v>
      </c>
      <c r="B2" s="12">
        <v>1</v>
      </c>
      <c r="C2" s="12" t="s">
        <v>36</v>
      </c>
      <c r="D2" s="12" t="s">
        <v>192</v>
      </c>
      <c r="E2" s="12" t="s">
        <v>192</v>
      </c>
      <c r="F2" s="12" t="s">
        <v>192</v>
      </c>
      <c r="G2" s="12" t="s">
        <v>192</v>
      </c>
      <c r="H2" s="20" t="s">
        <v>192</v>
      </c>
    </row>
    <row r="3" spans="1:8" s="8" customFormat="1" ht="25.2" customHeight="1" x14ac:dyDescent="0.3">
      <c r="A3" s="11" t="s">
        <v>51</v>
      </c>
      <c r="B3" s="12">
        <v>2</v>
      </c>
      <c r="C3" s="12" t="s">
        <v>230</v>
      </c>
      <c r="D3" s="12" t="s">
        <v>192</v>
      </c>
      <c r="E3" s="12" t="s">
        <v>192</v>
      </c>
      <c r="F3" s="12" t="s">
        <v>192</v>
      </c>
      <c r="G3" s="12" t="s">
        <v>192</v>
      </c>
      <c r="H3" s="20" t="s">
        <v>192</v>
      </c>
    </row>
    <row r="4" spans="1:8" s="8" customFormat="1" ht="25.2" customHeight="1" x14ac:dyDescent="0.3">
      <c r="A4" s="11" t="s">
        <v>66</v>
      </c>
      <c r="B4" s="12">
        <v>1</v>
      </c>
      <c r="C4" s="12" t="s">
        <v>67</v>
      </c>
      <c r="D4" s="12" t="s">
        <v>192</v>
      </c>
      <c r="E4" s="12" t="s">
        <v>192</v>
      </c>
      <c r="F4" s="12" t="s">
        <v>193</v>
      </c>
      <c r="G4" s="12" t="s">
        <v>192</v>
      </c>
      <c r="H4" s="20" t="s">
        <v>192</v>
      </c>
    </row>
    <row r="5" spans="1:8" s="8" customFormat="1" ht="25.2" customHeight="1" x14ac:dyDescent="0.3">
      <c r="A5" s="11" t="s">
        <v>75</v>
      </c>
      <c r="B5" s="12">
        <v>1</v>
      </c>
      <c r="C5" s="12" t="s">
        <v>76</v>
      </c>
      <c r="D5" s="12" t="s">
        <v>192</v>
      </c>
      <c r="E5" s="12" t="s">
        <v>193</v>
      </c>
      <c r="F5" s="12" t="s">
        <v>193</v>
      </c>
      <c r="G5" s="12" t="s">
        <v>193</v>
      </c>
      <c r="H5" s="20" t="s">
        <v>192</v>
      </c>
    </row>
    <row r="6" spans="1:8" s="8" customFormat="1" ht="25.2" customHeight="1" x14ac:dyDescent="0.3">
      <c r="A6" s="11" t="s">
        <v>85</v>
      </c>
      <c r="B6" s="12">
        <v>1</v>
      </c>
      <c r="C6" s="12" t="s">
        <v>86</v>
      </c>
      <c r="D6" s="12" t="s">
        <v>192</v>
      </c>
      <c r="E6" s="12" t="s">
        <v>192</v>
      </c>
      <c r="F6" s="12" t="s">
        <v>193</v>
      </c>
      <c r="G6" s="12" t="s">
        <v>192</v>
      </c>
      <c r="H6" s="20" t="s">
        <v>192</v>
      </c>
    </row>
    <row r="7" spans="1:8" s="8" customFormat="1" ht="25.2" customHeight="1" x14ac:dyDescent="0.3">
      <c r="A7" s="11" t="s">
        <v>92</v>
      </c>
      <c r="B7" s="12">
        <v>1</v>
      </c>
      <c r="C7" s="12" t="s">
        <v>93</v>
      </c>
      <c r="D7" s="12" t="s">
        <v>192</v>
      </c>
      <c r="E7" s="12" t="s">
        <v>192</v>
      </c>
      <c r="F7" s="12" t="s">
        <v>193</v>
      </c>
      <c r="G7" s="12" t="s">
        <v>192</v>
      </c>
      <c r="H7" s="20" t="s">
        <v>192</v>
      </c>
    </row>
    <row r="8" spans="1:8" s="8" customFormat="1" ht="25.2" customHeight="1" x14ac:dyDescent="0.3">
      <c r="A8" s="11" t="s">
        <v>100</v>
      </c>
      <c r="B8" s="12">
        <v>2</v>
      </c>
      <c r="C8" s="12" t="s">
        <v>231</v>
      </c>
      <c r="D8" s="12" t="s">
        <v>193</v>
      </c>
      <c r="E8" s="12" t="s">
        <v>232</v>
      </c>
      <c r="F8" s="12" t="s">
        <v>193</v>
      </c>
      <c r="G8" s="12" t="s">
        <v>193</v>
      </c>
      <c r="H8" s="20" t="s">
        <v>193</v>
      </c>
    </row>
    <row r="9" spans="1:8" s="8" customFormat="1" ht="25.2" customHeight="1" x14ac:dyDescent="0.3">
      <c r="A9" s="11" t="s">
        <v>110</v>
      </c>
      <c r="B9" s="12">
        <v>1</v>
      </c>
      <c r="C9" s="12" t="s">
        <v>111</v>
      </c>
      <c r="D9" s="12" t="s">
        <v>193</v>
      </c>
      <c r="E9" s="12" t="s">
        <v>193</v>
      </c>
      <c r="F9" s="12" t="s">
        <v>193</v>
      </c>
      <c r="G9" s="12" t="s">
        <v>192</v>
      </c>
      <c r="H9" s="20" t="s">
        <v>112</v>
      </c>
    </row>
    <row r="10" spans="1:8" s="8" customFormat="1" ht="25.2" customHeight="1" x14ac:dyDescent="0.3">
      <c r="A10" s="11" t="s">
        <v>117</v>
      </c>
      <c r="B10" s="12">
        <v>2</v>
      </c>
      <c r="C10" s="12" t="s">
        <v>233</v>
      </c>
      <c r="D10" s="12" t="s">
        <v>192</v>
      </c>
      <c r="E10" s="12" t="s">
        <v>192</v>
      </c>
      <c r="F10" s="12" t="s">
        <v>193</v>
      </c>
      <c r="G10" s="12" t="s">
        <v>192</v>
      </c>
      <c r="H10" s="20" t="s">
        <v>192</v>
      </c>
    </row>
    <row r="11" spans="1:8" s="8" customFormat="1" ht="25.2" customHeight="1" x14ac:dyDescent="0.3">
      <c r="A11" s="11" t="s">
        <v>128</v>
      </c>
      <c r="B11" s="12">
        <v>2</v>
      </c>
      <c r="C11" s="12" t="s">
        <v>234</v>
      </c>
      <c r="D11" s="12" t="s">
        <v>192</v>
      </c>
      <c r="E11" s="12" t="s">
        <v>192</v>
      </c>
      <c r="F11" s="12" t="s">
        <v>193</v>
      </c>
      <c r="G11" s="12" t="s">
        <v>192</v>
      </c>
      <c r="H11" s="20" t="s">
        <v>192</v>
      </c>
    </row>
    <row r="12" spans="1:8" s="8" customFormat="1" ht="25.2" customHeight="1" x14ac:dyDescent="0.3">
      <c r="A12" s="14" t="s">
        <v>138</v>
      </c>
      <c r="B12" s="15">
        <v>2</v>
      </c>
      <c r="C12" s="15" t="s">
        <v>235</v>
      </c>
      <c r="D12" s="15" t="s">
        <v>192</v>
      </c>
      <c r="E12" s="15" t="s">
        <v>192</v>
      </c>
      <c r="F12" s="15" t="s">
        <v>192</v>
      </c>
      <c r="G12" s="15" t="s">
        <v>192</v>
      </c>
      <c r="H12" s="21" t="s">
        <v>192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  <pageSetUpPr fitToPage="1"/>
  </sheetPr>
  <dimension ref="A1:B10"/>
  <sheetViews>
    <sheetView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10" customWidth="1"/>
    <col min="2" max="2" width="126.6640625" customWidth="1"/>
  </cols>
  <sheetData>
    <row r="1" spans="1:2" s="8" customFormat="1" ht="33" customHeight="1" x14ac:dyDescent="0.3">
      <c r="A1" s="17" t="s">
        <v>1</v>
      </c>
      <c r="B1" s="17" t="s">
        <v>164</v>
      </c>
    </row>
    <row r="2" spans="1:2" s="8" customFormat="1" ht="42" customHeight="1" x14ac:dyDescent="0.3">
      <c r="A2" s="12" t="s">
        <v>66</v>
      </c>
      <c r="B2" s="24" t="s">
        <v>236</v>
      </c>
    </row>
    <row r="3" spans="1:2" s="8" customFormat="1" ht="57.6" customHeight="1" x14ac:dyDescent="0.3">
      <c r="A3" s="12" t="s">
        <v>75</v>
      </c>
      <c r="B3" s="24" t="s">
        <v>237</v>
      </c>
    </row>
    <row r="4" spans="1:2" s="8" customFormat="1" ht="42" customHeight="1" x14ac:dyDescent="0.3">
      <c r="A4" s="12" t="s">
        <v>85</v>
      </c>
      <c r="B4" s="24" t="s">
        <v>236</v>
      </c>
    </row>
    <row r="5" spans="1:2" s="8" customFormat="1" ht="42" customHeight="1" x14ac:dyDescent="0.3">
      <c r="A5" s="12" t="s">
        <v>92</v>
      </c>
      <c r="B5" s="24" t="s">
        <v>236</v>
      </c>
    </row>
    <row r="6" spans="1:2" s="8" customFormat="1" ht="86.4" customHeight="1" x14ac:dyDescent="0.3">
      <c r="A6" s="12" t="s">
        <v>100</v>
      </c>
      <c r="B6" s="24" t="s">
        <v>238</v>
      </c>
    </row>
    <row r="7" spans="1:2" s="8" customFormat="1" ht="57.6" customHeight="1" x14ac:dyDescent="0.3">
      <c r="A7" s="12" t="s">
        <v>110</v>
      </c>
      <c r="B7" s="24" t="s">
        <v>239</v>
      </c>
    </row>
    <row r="8" spans="1:2" s="8" customFormat="1" ht="28.2" customHeight="1" x14ac:dyDescent="0.3">
      <c r="A8" s="23" t="s">
        <v>117</v>
      </c>
      <c r="B8" s="24" t="s">
        <v>236</v>
      </c>
    </row>
    <row r="9" spans="1:2" s="8" customFormat="1" ht="58.8" customHeight="1" x14ac:dyDescent="0.3">
      <c r="A9" s="12" t="s">
        <v>128</v>
      </c>
      <c r="B9" s="24" t="s">
        <v>240</v>
      </c>
    </row>
    <row r="10" spans="1:2" s="8" customFormat="1" ht="42" customHeight="1" x14ac:dyDescent="0.3">
      <c r="A10" s="12" t="s">
        <v>138</v>
      </c>
      <c r="B10" s="24" t="s">
        <v>241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E5" sqref="E5"/>
    </sheetView>
  </sheetViews>
  <sheetFormatPr defaultRowHeight="14.4" x14ac:dyDescent="0.3"/>
  <cols>
    <col min="1" max="1" width="5" customWidth="1"/>
    <col min="2" max="2" width="7" customWidth="1"/>
    <col min="3" max="3" width="15.21875" bestFit="1" customWidth="1"/>
    <col min="4" max="4" width="11" customWidth="1"/>
    <col min="5" max="5" width="20" customWidth="1"/>
    <col min="6" max="6" width="9" customWidth="1"/>
    <col min="7" max="7" width="10" customWidth="1"/>
    <col min="8" max="8" width="12" customWidth="1"/>
    <col min="9" max="10" width="18" customWidth="1"/>
    <col min="11" max="12" width="10" customWidth="1"/>
    <col min="13" max="13" width="60" customWidth="1"/>
    <col min="14" max="14" width="15" customWidth="1"/>
    <col min="15" max="15" width="16" customWidth="1"/>
    <col min="16" max="16" width="22" customWidth="1"/>
    <col min="17" max="17" width="46" customWidth="1"/>
    <col min="18" max="18" width="24" customWidth="1"/>
    <col min="19" max="19" width="17.6640625" bestFit="1" customWidth="1"/>
    <col min="20" max="20" width="68.6640625" customWidth="1"/>
    <col min="21" max="22" width="20" customWidth="1"/>
    <col min="23" max="23" width="15.5546875" bestFit="1" customWidth="1"/>
    <col min="24" max="24" width="55.21875" bestFit="1" customWidth="1"/>
    <col min="25" max="25" width="62" bestFit="1" customWidth="1"/>
    <col min="26" max="26" width="255.77734375" bestFit="1" customWidth="1"/>
    <col min="27" max="27" width="18" customWidth="1"/>
    <col min="28" max="29" width="55" customWidth="1"/>
    <col min="30" max="30" width="17.88671875" bestFit="1" customWidth="1"/>
    <col min="31" max="32" width="83.77734375" bestFit="1" customWidth="1"/>
    <col min="33" max="33" width="13.21875" bestFit="1" customWidth="1"/>
  </cols>
  <sheetData>
    <row r="1" spans="1:35" ht="31.95" customHeight="1" x14ac:dyDescent="0.3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34" t="s">
        <v>12</v>
      </c>
      <c r="N1" s="25" t="s">
        <v>13</v>
      </c>
      <c r="O1" s="25" t="s">
        <v>14</v>
      </c>
      <c r="P1" s="25" t="s">
        <v>15</v>
      </c>
      <c r="Q1" s="36" t="s">
        <v>16</v>
      </c>
      <c r="R1" s="25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36" t="s">
        <v>24</v>
      </c>
      <c r="Z1" s="25" t="s">
        <v>25</v>
      </c>
      <c r="AA1" s="25" t="s">
        <v>26</v>
      </c>
      <c r="AB1" s="36" t="s">
        <v>27</v>
      </c>
      <c r="AC1" s="25" t="s">
        <v>28</v>
      </c>
      <c r="AD1" s="25" t="s">
        <v>29</v>
      </c>
      <c r="AE1" s="25" t="s">
        <v>30</v>
      </c>
      <c r="AF1" s="25" t="s">
        <v>31</v>
      </c>
      <c r="AG1" s="25" t="s">
        <v>32</v>
      </c>
      <c r="AH1" s="25" t="s">
        <v>33</v>
      </c>
      <c r="AI1" s="25" t="s">
        <v>34</v>
      </c>
    </row>
    <row r="2" spans="1:35" x14ac:dyDescent="0.3">
      <c r="A2" s="26">
        <v>1</v>
      </c>
      <c r="B2" s="26" t="s">
        <v>35</v>
      </c>
      <c r="C2" s="27">
        <v>-23.585191399999999</v>
      </c>
      <c r="D2" s="27">
        <v>-46.570706899999998</v>
      </c>
      <c r="E2" s="26" t="s">
        <v>36</v>
      </c>
      <c r="F2" s="26" t="s">
        <v>37</v>
      </c>
      <c r="G2" s="26" t="s">
        <v>38</v>
      </c>
      <c r="H2" s="28">
        <v>8</v>
      </c>
      <c r="I2" s="26" t="s">
        <v>39</v>
      </c>
      <c r="J2" s="26" t="s">
        <v>40</v>
      </c>
      <c r="K2" s="26">
        <v>1</v>
      </c>
      <c r="L2" s="26">
        <v>1</v>
      </c>
      <c r="M2" s="35" t="s">
        <v>41</v>
      </c>
      <c r="N2" s="26">
        <v>1</v>
      </c>
      <c r="O2" s="26">
        <v>1</v>
      </c>
      <c r="P2" s="26">
        <v>1</v>
      </c>
      <c r="Q2" s="37" t="s">
        <v>42</v>
      </c>
      <c r="R2" s="26" t="s">
        <v>43</v>
      </c>
      <c r="S2" s="26" t="s">
        <v>44</v>
      </c>
      <c r="T2" s="26" t="s">
        <v>45</v>
      </c>
      <c r="U2" s="26">
        <v>0</v>
      </c>
      <c r="V2" s="26"/>
      <c r="W2" s="26">
        <v>0</v>
      </c>
      <c r="X2" s="26">
        <v>1</v>
      </c>
      <c r="Y2" s="38" t="s">
        <v>46</v>
      </c>
      <c r="Z2" s="32" t="s">
        <v>299</v>
      </c>
      <c r="AA2" s="26" t="s">
        <v>47</v>
      </c>
      <c r="AB2" s="37" t="s">
        <v>48</v>
      </c>
      <c r="AC2" s="26" t="s">
        <v>49</v>
      </c>
      <c r="AD2" s="26">
        <v>5</v>
      </c>
      <c r="AE2" s="26">
        <v>5</v>
      </c>
      <c r="AF2" s="29">
        <v>1</v>
      </c>
      <c r="AG2" s="26" t="s">
        <v>296</v>
      </c>
      <c r="AH2" s="26">
        <v>0</v>
      </c>
      <c r="AI2" s="26" t="s">
        <v>50</v>
      </c>
    </row>
    <row r="3" spans="1:35" ht="15.6" x14ac:dyDescent="0.3">
      <c r="A3" s="26">
        <v>2</v>
      </c>
      <c r="B3" s="26" t="s">
        <v>51</v>
      </c>
      <c r="C3" s="27">
        <v>-23.433475099999999</v>
      </c>
      <c r="D3" s="27">
        <v>-46.444459299999998</v>
      </c>
      <c r="E3" s="26" t="s">
        <v>52</v>
      </c>
      <c r="F3" s="26" t="s">
        <v>37</v>
      </c>
      <c r="G3" s="26" t="s">
        <v>53</v>
      </c>
      <c r="H3" s="28">
        <v>11</v>
      </c>
      <c r="I3" s="26" t="s">
        <v>39</v>
      </c>
      <c r="J3" s="26" t="s">
        <v>54</v>
      </c>
      <c r="K3" s="26">
        <v>1</v>
      </c>
      <c r="L3" s="26">
        <v>1</v>
      </c>
      <c r="M3" s="35" t="s">
        <v>55</v>
      </c>
      <c r="N3" s="26">
        <v>1</v>
      </c>
      <c r="O3" s="26">
        <v>1</v>
      </c>
      <c r="P3" s="26">
        <v>1</v>
      </c>
      <c r="Q3" s="37" t="s">
        <v>56</v>
      </c>
      <c r="R3" s="26" t="s">
        <v>43</v>
      </c>
      <c r="S3" s="26" t="s">
        <v>44</v>
      </c>
      <c r="T3" s="26" t="s">
        <v>57</v>
      </c>
      <c r="U3" s="26">
        <v>0</v>
      </c>
      <c r="V3" s="26"/>
      <c r="W3" s="26">
        <v>0</v>
      </c>
      <c r="X3" s="26">
        <v>1</v>
      </c>
      <c r="Y3" s="38" t="s">
        <v>58</v>
      </c>
      <c r="Z3" s="39" t="s">
        <v>300</v>
      </c>
      <c r="AA3" s="26" t="s">
        <v>59</v>
      </c>
      <c r="AB3" s="37" t="s">
        <v>60</v>
      </c>
      <c r="AC3" s="26" t="s">
        <v>61</v>
      </c>
      <c r="AD3" s="26">
        <v>5</v>
      </c>
      <c r="AE3" s="26">
        <v>5</v>
      </c>
      <c r="AF3" s="29">
        <v>1</v>
      </c>
      <c r="AG3" s="26" t="s">
        <v>296</v>
      </c>
      <c r="AH3" s="26">
        <v>0</v>
      </c>
      <c r="AI3" s="26" t="s">
        <v>50</v>
      </c>
    </row>
    <row r="4" spans="1:35" x14ac:dyDescent="0.3">
      <c r="A4" s="26">
        <v>3</v>
      </c>
      <c r="B4" s="26" t="s">
        <v>51</v>
      </c>
      <c r="C4" s="27">
        <v>-23.433475099999999</v>
      </c>
      <c r="D4" s="27">
        <v>-46.444459299999998</v>
      </c>
      <c r="E4" s="26" t="s">
        <v>62</v>
      </c>
      <c r="F4" s="26" t="s">
        <v>37</v>
      </c>
      <c r="G4" s="26" t="s">
        <v>63</v>
      </c>
      <c r="H4" s="28">
        <v>7</v>
      </c>
      <c r="I4" s="26" t="s">
        <v>64</v>
      </c>
      <c r="J4" s="26" t="s">
        <v>54</v>
      </c>
      <c r="K4" s="26">
        <v>1</v>
      </c>
      <c r="L4" s="26">
        <v>1</v>
      </c>
      <c r="M4" s="35" t="s">
        <v>55</v>
      </c>
      <c r="N4" s="26">
        <v>1</v>
      </c>
      <c r="O4" s="26">
        <v>1</v>
      </c>
      <c r="P4" s="26">
        <v>1</v>
      </c>
      <c r="Q4" s="37" t="s">
        <v>56</v>
      </c>
      <c r="R4" s="26" t="s">
        <v>43</v>
      </c>
      <c r="S4" s="26" t="s">
        <v>44</v>
      </c>
      <c r="T4" s="26" t="s">
        <v>57</v>
      </c>
      <c r="U4" s="26">
        <v>0</v>
      </c>
      <c r="V4" s="26"/>
      <c r="W4" s="26">
        <v>0</v>
      </c>
      <c r="X4" s="26">
        <v>1</v>
      </c>
      <c r="Y4" s="38" t="s">
        <v>65</v>
      </c>
      <c r="Z4" s="32" t="s">
        <v>301</v>
      </c>
      <c r="AA4" s="26" t="s">
        <v>59</v>
      </c>
      <c r="AB4" s="37" t="s">
        <v>60</v>
      </c>
      <c r="AC4" s="26" t="s">
        <v>61</v>
      </c>
      <c r="AD4" s="26">
        <v>5</v>
      </c>
      <c r="AE4" s="26">
        <v>5</v>
      </c>
      <c r="AF4" s="29">
        <v>1</v>
      </c>
      <c r="AG4" s="26" t="s">
        <v>296</v>
      </c>
      <c r="AH4" s="26">
        <v>0</v>
      </c>
      <c r="AI4" s="26" t="s">
        <v>50</v>
      </c>
    </row>
    <row r="5" spans="1:35" x14ac:dyDescent="0.3">
      <c r="A5" s="26">
        <v>4</v>
      </c>
      <c r="B5" s="26" t="s">
        <v>66</v>
      </c>
      <c r="C5" s="27">
        <v>-23.509572800000001</v>
      </c>
      <c r="D5" s="27">
        <v>-46.868547499999998</v>
      </c>
      <c r="E5" s="26" t="s">
        <v>67</v>
      </c>
      <c r="F5" s="26" t="s">
        <v>37</v>
      </c>
      <c r="G5" s="26" t="s">
        <v>38</v>
      </c>
      <c r="H5" s="28">
        <v>2</v>
      </c>
      <c r="I5" s="26" t="s">
        <v>68</v>
      </c>
      <c r="J5" s="26" t="s">
        <v>54</v>
      </c>
      <c r="K5" s="26">
        <v>1</v>
      </c>
      <c r="L5" s="26">
        <v>1</v>
      </c>
      <c r="M5" s="35" t="s">
        <v>69</v>
      </c>
      <c r="N5" s="26">
        <v>0</v>
      </c>
      <c r="O5" s="26">
        <v>1</v>
      </c>
      <c r="P5" s="26">
        <v>0</v>
      </c>
      <c r="Q5" s="37"/>
      <c r="R5" s="26" t="s">
        <v>43</v>
      </c>
      <c r="S5" s="26" t="s">
        <v>44</v>
      </c>
      <c r="T5" s="26" t="s">
        <v>45</v>
      </c>
      <c r="U5" s="26">
        <v>0</v>
      </c>
      <c r="V5" s="26"/>
      <c r="W5" s="26">
        <v>0</v>
      </c>
      <c r="X5" s="26">
        <v>1</v>
      </c>
      <c r="Y5" s="38" t="s">
        <v>70</v>
      </c>
      <c r="Z5" s="32" t="s">
        <v>302</v>
      </c>
      <c r="AA5" s="26" t="s">
        <v>71</v>
      </c>
      <c r="AB5" s="37" t="s">
        <v>72</v>
      </c>
      <c r="AC5" s="26" t="s">
        <v>73</v>
      </c>
      <c r="AD5" s="26">
        <v>3</v>
      </c>
      <c r="AE5" s="26">
        <v>5</v>
      </c>
      <c r="AF5" s="29">
        <v>0.6</v>
      </c>
      <c r="AG5" s="26" t="s">
        <v>298</v>
      </c>
      <c r="AH5" s="26">
        <v>2</v>
      </c>
      <c r="AI5" s="26" t="s">
        <v>74</v>
      </c>
    </row>
    <row r="6" spans="1:35" x14ac:dyDescent="0.3">
      <c r="A6" s="26">
        <v>5</v>
      </c>
      <c r="B6" s="26" t="s">
        <v>75</v>
      </c>
      <c r="C6" s="27">
        <v>-24.532810699999999</v>
      </c>
      <c r="D6" s="27">
        <v>-47.873984999999998</v>
      </c>
      <c r="E6" s="26" t="s">
        <v>76</v>
      </c>
      <c r="F6" s="26" t="s">
        <v>37</v>
      </c>
      <c r="G6" s="26" t="s">
        <v>63</v>
      </c>
      <c r="H6" s="28">
        <v>0.67</v>
      </c>
      <c r="I6" s="26" t="s">
        <v>77</v>
      </c>
      <c r="J6" s="26" t="s">
        <v>54</v>
      </c>
      <c r="K6" s="26">
        <v>0</v>
      </c>
      <c r="L6" s="26">
        <v>1</v>
      </c>
      <c r="M6" s="35" t="s">
        <v>78</v>
      </c>
      <c r="N6" s="26">
        <v>0</v>
      </c>
      <c r="O6" s="26">
        <v>0</v>
      </c>
      <c r="P6" s="26">
        <v>0</v>
      </c>
      <c r="Q6" s="37"/>
      <c r="R6" s="26" t="s">
        <v>43</v>
      </c>
      <c r="S6" s="26" t="s">
        <v>79</v>
      </c>
      <c r="T6" s="26" t="s">
        <v>57</v>
      </c>
      <c r="U6" s="26">
        <v>0</v>
      </c>
      <c r="V6" s="26"/>
      <c r="W6" s="26">
        <v>0</v>
      </c>
      <c r="X6" s="26">
        <v>0</v>
      </c>
      <c r="Y6" s="37" t="s">
        <v>80</v>
      </c>
      <c r="Z6" s="32" t="s">
        <v>303</v>
      </c>
      <c r="AA6" s="26" t="s">
        <v>81</v>
      </c>
      <c r="AB6" s="37" t="s">
        <v>82</v>
      </c>
      <c r="AC6" s="26" t="s">
        <v>83</v>
      </c>
      <c r="AD6" s="26">
        <v>1</v>
      </c>
      <c r="AE6" s="26">
        <v>5</v>
      </c>
      <c r="AF6" s="29">
        <v>0.2</v>
      </c>
      <c r="AG6" s="26" t="s">
        <v>297</v>
      </c>
      <c r="AH6" s="26">
        <v>4</v>
      </c>
      <c r="AI6" s="26" t="s">
        <v>84</v>
      </c>
    </row>
    <row r="7" spans="1:35" x14ac:dyDescent="0.3">
      <c r="A7" s="26">
        <v>6</v>
      </c>
      <c r="B7" s="26" t="s">
        <v>85</v>
      </c>
      <c r="C7" s="27">
        <v>-23.036955800000001</v>
      </c>
      <c r="D7" s="27">
        <v>-45.582538700000001</v>
      </c>
      <c r="E7" s="26" t="s">
        <v>86</v>
      </c>
      <c r="F7" s="26" t="s">
        <v>37</v>
      </c>
      <c r="G7" s="26" t="s">
        <v>53</v>
      </c>
      <c r="H7" s="28">
        <v>2</v>
      </c>
      <c r="I7" s="26" t="s">
        <v>68</v>
      </c>
      <c r="J7" s="26" t="s">
        <v>54</v>
      </c>
      <c r="K7" s="26">
        <v>1</v>
      </c>
      <c r="L7" s="26">
        <v>1</v>
      </c>
      <c r="M7" s="35" t="s">
        <v>87</v>
      </c>
      <c r="N7" s="26">
        <v>0</v>
      </c>
      <c r="O7" s="26">
        <v>1</v>
      </c>
      <c r="P7" s="26">
        <v>0</v>
      </c>
      <c r="Q7" s="37"/>
      <c r="R7" s="26" t="s">
        <v>43</v>
      </c>
      <c r="S7" s="26" t="s">
        <v>44</v>
      </c>
      <c r="T7" s="26" t="s">
        <v>45</v>
      </c>
      <c r="U7" s="26">
        <v>0</v>
      </c>
      <c r="V7" s="26"/>
      <c r="W7" s="26">
        <v>0</v>
      </c>
      <c r="X7" s="26">
        <v>1</v>
      </c>
      <c r="Y7" s="38" t="s">
        <v>88</v>
      </c>
      <c r="Z7" s="32" t="s">
        <v>304</v>
      </c>
      <c r="AA7" s="26" t="s">
        <v>89</v>
      </c>
      <c r="AB7" s="37" t="s">
        <v>90</v>
      </c>
      <c r="AC7" s="26" t="s">
        <v>91</v>
      </c>
      <c r="AD7" s="26">
        <v>3</v>
      </c>
      <c r="AE7" s="26">
        <v>5</v>
      </c>
      <c r="AF7" s="29">
        <v>0.6</v>
      </c>
      <c r="AG7" s="26" t="s">
        <v>298</v>
      </c>
      <c r="AH7" s="26">
        <v>2</v>
      </c>
      <c r="AI7" s="26" t="s">
        <v>74</v>
      </c>
    </row>
    <row r="8" spans="1:35" x14ac:dyDescent="0.3">
      <c r="A8" s="26">
        <v>7</v>
      </c>
      <c r="B8" s="26" t="s">
        <v>92</v>
      </c>
      <c r="C8" s="27">
        <v>-22.999898900000002</v>
      </c>
      <c r="D8" s="27">
        <v>-46.8377926</v>
      </c>
      <c r="E8" s="26" t="s">
        <v>93</v>
      </c>
      <c r="F8" s="26" t="s">
        <v>94</v>
      </c>
      <c r="G8" s="26" t="s">
        <v>53</v>
      </c>
      <c r="H8" s="28">
        <v>1</v>
      </c>
      <c r="I8" s="26" t="s">
        <v>68</v>
      </c>
      <c r="J8" s="26" t="s">
        <v>54</v>
      </c>
      <c r="K8" s="26">
        <v>1</v>
      </c>
      <c r="L8" s="26">
        <v>1</v>
      </c>
      <c r="M8" s="35" t="s">
        <v>95</v>
      </c>
      <c r="N8" s="26">
        <v>0</v>
      </c>
      <c r="O8" s="26">
        <v>1</v>
      </c>
      <c r="P8" s="26">
        <v>0</v>
      </c>
      <c r="Q8" s="37"/>
      <c r="R8" s="26" t="s">
        <v>43</v>
      </c>
      <c r="S8" s="26" t="s">
        <v>44</v>
      </c>
      <c r="T8" s="26" t="s">
        <v>57</v>
      </c>
      <c r="U8" s="26">
        <v>0</v>
      </c>
      <c r="V8" s="26"/>
      <c r="W8" s="26">
        <v>0</v>
      </c>
      <c r="X8" s="26">
        <v>1</v>
      </c>
      <c r="Y8" s="38" t="s">
        <v>96</v>
      </c>
      <c r="Z8" s="32" t="s">
        <v>305</v>
      </c>
      <c r="AA8" s="26" t="s">
        <v>97</v>
      </c>
      <c r="AB8" s="37" t="s">
        <v>98</v>
      </c>
      <c r="AC8" s="26" t="s">
        <v>99</v>
      </c>
      <c r="AD8" s="26">
        <v>3</v>
      </c>
      <c r="AE8" s="26">
        <v>5</v>
      </c>
      <c r="AF8" s="29">
        <v>0.6</v>
      </c>
      <c r="AG8" s="26" t="s">
        <v>298</v>
      </c>
      <c r="AH8" s="26">
        <v>2</v>
      </c>
      <c r="AI8" s="26" t="s">
        <v>74</v>
      </c>
    </row>
    <row r="9" spans="1:35" ht="15.6" x14ac:dyDescent="0.3">
      <c r="A9" s="26">
        <v>8</v>
      </c>
      <c r="B9" s="26" t="s">
        <v>100</v>
      </c>
      <c r="C9" s="27">
        <v>-22.834309600000001</v>
      </c>
      <c r="D9" s="27">
        <v>-47.2664118</v>
      </c>
      <c r="E9" s="26" t="s">
        <v>101</v>
      </c>
      <c r="F9" s="26" t="s">
        <v>94</v>
      </c>
      <c r="G9" s="26" t="s">
        <v>53</v>
      </c>
      <c r="H9" s="28">
        <v>4</v>
      </c>
      <c r="I9" s="26" t="s">
        <v>64</v>
      </c>
      <c r="J9" s="26" t="s">
        <v>54</v>
      </c>
      <c r="K9" s="26">
        <v>1</v>
      </c>
      <c r="L9" s="26">
        <v>0</v>
      </c>
      <c r="M9" s="35"/>
      <c r="N9" s="26">
        <v>0</v>
      </c>
      <c r="O9" s="26">
        <v>0</v>
      </c>
      <c r="P9" s="26">
        <v>0</v>
      </c>
      <c r="Q9" s="37"/>
      <c r="R9" s="26" t="s">
        <v>102</v>
      </c>
      <c r="S9" s="26" t="s">
        <v>103</v>
      </c>
      <c r="T9" s="26" t="s">
        <v>57</v>
      </c>
      <c r="U9" s="26">
        <v>0</v>
      </c>
      <c r="V9" s="26"/>
      <c r="W9" s="26">
        <v>0</v>
      </c>
      <c r="X9" s="26">
        <v>0</v>
      </c>
      <c r="Y9" s="37" t="s">
        <v>80</v>
      </c>
      <c r="Z9" s="39" t="s">
        <v>306</v>
      </c>
      <c r="AA9" s="26" t="s">
        <v>104</v>
      </c>
      <c r="AB9" s="37" t="s">
        <v>105</v>
      </c>
      <c r="AC9" s="26" t="s">
        <v>106</v>
      </c>
      <c r="AD9" s="26">
        <v>1</v>
      </c>
      <c r="AE9" s="26">
        <v>5</v>
      </c>
      <c r="AF9" s="29">
        <v>0.2</v>
      </c>
      <c r="AG9" s="26" t="s">
        <v>297</v>
      </c>
      <c r="AH9" s="26">
        <v>4</v>
      </c>
      <c r="AI9" s="26" t="s">
        <v>107</v>
      </c>
    </row>
    <row r="10" spans="1:35" x14ac:dyDescent="0.3">
      <c r="A10" s="26">
        <v>9</v>
      </c>
      <c r="B10" s="26" t="s">
        <v>100</v>
      </c>
      <c r="C10" s="27">
        <v>-22.834309600000001</v>
      </c>
      <c r="D10" s="27">
        <v>-47.2664118</v>
      </c>
      <c r="E10" s="26" t="s">
        <v>108</v>
      </c>
      <c r="F10" s="26" t="s">
        <v>37</v>
      </c>
      <c r="G10" s="26" t="s">
        <v>53</v>
      </c>
      <c r="H10" s="28">
        <v>2</v>
      </c>
      <c r="I10" s="26" t="s">
        <v>68</v>
      </c>
      <c r="J10" s="26" t="s">
        <v>54</v>
      </c>
      <c r="K10" s="26">
        <v>0</v>
      </c>
      <c r="L10" s="26">
        <v>0</v>
      </c>
      <c r="M10" s="35"/>
      <c r="N10" s="26">
        <v>0</v>
      </c>
      <c r="O10" s="26">
        <v>0</v>
      </c>
      <c r="P10" s="26">
        <v>0</v>
      </c>
      <c r="Q10" s="37"/>
      <c r="R10" s="26" t="s">
        <v>102</v>
      </c>
      <c r="S10" s="26" t="s">
        <v>103</v>
      </c>
      <c r="T10" s="26" t="s">
        <v>57</v>
      </c>
      <c r="U10" s="26">
        <v>0</v>
      </c>
      <c r="V10" s="26"/>
      <c r="W10" s="26">
        <v>0</v>
      </c>
      <c r="X10" s="26">
        <v>0</v>
      </c>
      <c r="Y10" s="37" t="s">
        <v>80</v>
      </c>
      <c r="Z10" s="32" t="s">
        <v>307</v>
      </c>
      <c r="AA10" s="26" t="s">
        <v>104</v>
      </c>
      <c r="AB10" s="37" t="s">
        <v>105</v>
      </c>
      <c r="AC10" s="26" t="s">
        <v>106</v>
      </c>
      <c r="AD10" s="26">
        <v>0</v>
      </c>
      <c r="AE10" s="26">
        <v>5</v>
      </c>
      <c r="AF10" s="29">
        <v>0</v>
      </c>
      <c r="AG10" s="26" t="s">
        <v>297</v>
      </c>
      <c r="AH10" s="26">
        <v>5</v>
      </c>
      <c r="AI10" s="26" t="s">
        <v>109</v>
      </c>
    </row>
    <row r="11" spans="1:35" x14ac:dyDescent="0.3">
      <c r="A11" s="26">
        <v>10</v>
      </c>
      <c r="B11" s="26" t="s">
        <v>110</v>
      </c>
      <c r="C11" s="27">
        <v>-22.7442384</v>
      </c>
      <c r="D11" s="27">
        <v>-47.170647099999996</v>
      </c>
      <c r="E11" s="26" t="s">
        <v>111</v>
      </c>
      <c r="F11" s="26" t="s">
        <v>37</v>
      </c>
      <c r="G11" s="26" t="s">
        <v>53</v>
      </c>
      <c r="H11" s="28">
        <v>8</v>
      </c>
      <c r="I11" s="26" t="s">
        <v>39</v>
      </c>
      <c r="J11" s="26" t="s">
        <v>54</v>
      </c>
      <c r="K11" s="26">
        <v>0</v>
      </c>
      <c r="L11" s="26">
        <v>0</v>
      </c>
      <c r="M11" s="35"/>
      <c r="N11" s="26">
        <v>0</v>
      </c>
      <c r="O11" s="26">
        <v>1</v>
      </c>
      <c r="P11" s="26">
        <v>0</v>
      </c>
      <c r="Q11" s="37"/>
      <c r="R11" s="26" t="s">
        <v>112</v>
      </c>
      <c r="S11" s="26" t="s">
        <v>103</v>
      </c>
      <c r="T11" s="26" t="s">
        <v>57</v>
      </c>
      <c r="U11" s="26">
        <v>0</v>
      </c>
      <c r="V11" s="26"/>
      <c r="W11" s="26">
        <v>0</v>
      </c>
      <c r="X11" s="26">
        <v>0</v>
      </c>
      <c r="Y11" s="37" t="s">
        <v>80</v>
      </c>
      <c r="Z11" s="32" t="s">
        <v>308</v>
      </c>
      <c r="AA11" s="26" t="s">
        <v>113</v>
      </c>
      <c r="AB11" s="37" t="s">
        <v>114</v>
      </c>
      <c r="AC11" s="26" t="s">
        <v>115</v>
      </c>
      <c r="AD11" s="26">
        <v>1</v>
      </c>
      <c r="AE11" s="26">
        <v>5</v>
      </c>
      <c r="AF11" s="29">
        <v>0.2</v>
      </c>
      <c r="AG11" s="26" t="s">
        <v>297</v>
      </c>
      <c r="AH11" s="26">
        <v>4</v>
      </c>
      <c r="AI11" s="26" t="s">
        <v>116</v>
      </c>
    </row>
    <row r="12" spans="1:35" x14ac:dyDescent="0.3">
      <c r="A12" s="26">
        <v>11</v>
      </c>
      <c r="B12" s="26" t="s">
        <v>117</v>
      </c>
      <c r="C12" s="27">
        <v>-22.5774638</v>
      </c>
      <c r="D12" s="27">
        <v>-47.498240600000003</v>
      </c>
      <c r="E12" s="26" t="s">
        <v>118</v>
      </c>
      <c r="F12" s="26" t="s">
        <v>94</v>
      </c>
      <c r="G12" s="26" t="s">
        <v>53</v>
      </c>
      <c r="H12" s="28">
        <v>3</v>
      </c>
      <c r="I12" s="26" t="s">
        <v>64</v>
      </c>
      <c r="J12" s="26" t="s">
        <v>54</v>
      </c>
      <c r="K12" s="26">
        <v>1</v>
      </c>
      <c r="L12" s="26">
        <v>1</v>
      </c>
      <c r="M12" s="35" t="s">
        <v>119</v>
      </c>
      <c r="N12" s="26">
        <v>0</v>
      </c>
      <c r="O12" s="26">
        <v>1</v>
      </c>
      <c r="P12" s="26">
        <v>0</v>
      </c>
      <c r="Q12" s="37"/>
      <c r="R12" s="26" t="s">
        <v>43</v>
      </c>
      <c r="S12" s="26" t="s">
        <v>44</v>
      </c>
      <c r="T12" s="26" t="s">
        <v>57</v>
      </c>
      <c r="U12" s="26">
        <v>0</v>
      </c>
      <c r="V12" s="26"/>
      <c r="W12" s="26">
        <v>0</v>
      </c>
      <c r="X12" s="26">
        <v>1</v>
      </c>
      <c r="Y12" s="38" t="s">
        <v>120</v>
      </c>
      <c r="Z12" s="32" t="s">
        <v>309</v>
      </c>
      <c r="AA12" s="26" t="s">
        <v>121</v>
      </c>
      <c r="AB12" s="37" t="s">
        <v>122</v>
      </c>
      <c r="AC12" s="26" t="s">
        <v>123</v>
      </c>
      <c r="AD12" s="26">
        <v>3</v>
      </c>
      <c r="AE12" s="26">
        <v>5</v>
      </c>
      <c r="AF12" s="29">
        <v>0.6</v>
      </c>
      <c r="AG12" s="26" t="s">
        <v>298</v>
      </c>
      <c r="AH12" s="26">
        <v>2</v>
      </c>
      <c r="AI12" s="26" t="s">
        <v>74</v>
      </c>
    </row>
    <row r="13" spans="1:35" x14ac:dyDescent="0.3">
      <c r="A13" s="26">
        <v>12</v>
      </c>
      <c r="B13" s="26" t="s">
        <v>117</v>
      </c>
      <c r="C13" s="27">
        <v>-22.5774638</v>
      </c>
      <c r="D13" s="27">
        <v>-47.498240600000003</v>
      </c>
      <c r="E13" s="26" t="s">
        <v>124</v>
      </c>
      <c r="F13" s="26" t="s">
        <v>94</v>
      </c>
      <c r="G13" s="26" t="s">
        <v>53</v>
      </c>
      <c r="H13" s="28">
        <v>3</v>
      </c>
      <c r="I13" s="26" t="s">
        <v>64</v>
      </c>
      <c r="J13" s="26" t="s">
        <v>54</v>
      </c>
      <c r="K13" s="26">
        <v>1</v>
      </c>
      <c r="L13" s="26">
        <v>1</v>
      </c>
      <c r="M13" s="35" t="s">
        <v>119</v>
      </c>
      <c r="N13" s="26">
        <v>0</v>
      </c>
      <c r="O13" s="26">
        <v>1</v>
      </c>
      <c r="P13" s="26">
        <v>0</v>
      </c>
      <c r="Q13" s="37"/>
      <c r="R13" s="26" t="s">
        <v>43</v>
      </c>
      <c r="S13" s="26" t="s">
        <v>44</v>
      </c>
      <c r="T13" s="26" t="s">
        <v>57</v>
      </c>
      <c r="U13" s="26">
        <v>0</v>
      </c>
      <c r="V13" s="26"/>
      <c r="W13" s="26">
        <v>0</v>
      </c>
      <c r="X13" s="26">
        <v>1</v>
      </c>
      <c r="Y13" s="38" t="s">
        <v>125</v>
      </c>
      <c r="Z13" s="32" t="s">
        <v>310</v>
      </c>
      <c r="AA13" s="26" t="s">
        <v>126</v>
      </c>
      <c r="AB13" s="37" t="s">
        <v>127</v>
      </c>
      <c r="AC13" s="26" t="s">
        <v>123</v>
      </c>
      <c r="AD13" s="26">
        <v>3</v>
      </c>
      <c r="AE13" s="26">
        <v>5</v>
      </c>
      <c r="AF13" s="29">
        <v>0.6</v>
      </c>
      <c r="AG13" s="26" t="s">
        <v>298</v>
      </c>
      <c r="AH13" s="26">
        <v>2</v>
      </c>
      <c r="AI13" s="26" t="s">
        <v>74</v>
      </c>
    </row>
    <row r="14" spans="1:35" ht="81.599999999999994" customHeight="1" x14ac:dyDescent="0.3">
      <c r="A14" s="26">
        <v>13</v>
      </c>
      <c r="B14" s="26" t="s">
        <v>128</v>
      </c>
      <c r="C14" s="27">
        <v>-22.573420599999999</v>
      </c>
      <c r="D14" s="27">
        <v>-48.821736999999999</v>
      </c>
      <c r="E14" s="26" t="s">
        <v>129</v>
      </c>
      <c r="F14" s="26" t="s">
        <v>37</v>
      </c>
      <c r="G14" s="26" t="s">
        <v>53</v>
      </c>
      <c r="H14" s="28">
        <v>7</v>
      </c>
      <c r="I14" s="26" t="s">
        <v>64</v>
      </c>
      <c r="J14" s="26" t="s">
        <v>54</v>
      </c>
      <c r="K14" s="26">
        <v>1</v>
      </c>
      <c r="L14" s="26">
        <v>1</v>
      </c>
      <c r="M14" s="35" t="s">
        <v>130</v>
      </c>
      <c r="N14" s="26">
        <v>0</v>
      </c>
      <c r="O14" s="26">
        <v>1</v>
      </c>
      <c r="P14" s="26">
        <v>0</v>
      </c>
      <c r="Q14" s="37"/>
      <c r="R14" s="26" t="s">
        <v>43</v>
      </c>
      <c r="S14" s="26" t="s">
        <v>44</v>
      </c>
      <c r="T14" s="26" t="s">
        <v>57</v>
      </c>
      <c r="U14" s="26">
        <v>1</v>
      </c>
      <c r="V14" s="33" t="s">
        <v>131</v>
      </c>
      <c r="W14" s="26">
        <v>0</v>
      </c>
      <c r="X14" s="26">
        <v>0</v>
      </c>
      <c r="Y14" s="37" t="s">
        <v>80</v>
      </c>
      <c r="Z14" s="32" t="s">
        <v>312</v>
      </c>
      <c r="AA14" s="26" t="s">
        <v>132</v>
      </c>
      <c r="AB14" s="37" t="s">
        <v>133</v>
      </c>
      <c r="AC14" s="26" t="s">
        <v>134</v>
      </c>
      <c r="AD14" s="26">
        <v>3</v>
      </c>
      <c r="AE14" s="26">
        <v>5</v>
      </c>
      <c r="AF14" s="29">
        <v>0.6</v>
      </c>
      <c r="AG14" s="26" t="s">
        <v>298</v>
      </c>
      <c r="AH14" s="26">
        <v>2</v>
      </c>
      <c r="AI14" s="26" t="s">
        <v>74</v>
      </c>
    </row>
    <row r="15" spans="1:35" x14ac:dyDescent="0.3">
      <c r="A15" s="26">
        <v>14</v>
      </c>
      <c r="B15" s="26" t="s">
        <v>128</v>
      </c>
      <c r="C15" s="27">
        <v>-22.573420599999999</v>
      </c>
      <c r="D15" s="27">
        <v>-48.821736999999999</v>
      </c>
      <c r="E15" s="26" t="s">
        <v>135</v>
      </c>
      <c r="F15" s="26" t="s">
        <v>94</v>
      </c>
      <c r="G15" s="26" t="s">
        <v>53</v>
      </c>
      <c r="H15" s="28">
        <v>6</v>
      </c>
      <c r="I15" s="26" t="s">
        <v>64</v>
      </c>
      <c r="J15" s="26" t="s">
        <v>54</v>
      </c>
      <c r="K15" s="26">
        <v>1</v>
      </c>
      <c r="L15" s="26">
        <v>1</v>
      </c>
      <c r="M15" s="35" t="s">
        <v>130</v>
      </c>
      <c r="N15" s="26">
        <v>0</v>
      </c>
      <c r="O15" s="26">
        <v>1</v>
      </c>
      <c r="P15" s="26">
        <v>0</v>
      </c>
      <c r="Q15" s="37"/>
      <c r="R15" s="26" t="s">
        <v>43</v>
      </c>
      <c r="S15" s="26" t="s">
        <v>44</v>
      </c>
      <c r="T15" s="26" t="s">
        <v>57</v>
      </c>
      <c r="U15" s="26">
        <v>0</v>
      </c>
      <c r="V15" s="26"/>
      <c r="W15" s="26">
        <v>0</v>
      </c>
      <c r="X15" s="26">
        <v>0</v>
      </c>
      <c r="Y15" s="37" t="s">
        <v>80</v>
      </c>
      <c r="Z15" s="32" t="s">
        <v>311</v>
      </c>
      <c r="AA15" s="26" t="s">
        <v>136</v>
      </c>
      <c r="AB15" s="37" t="s">
        <v>137</v>
      </c>
      <c r="AC15" s="26" t="s">
        <v>134</v>
      </c>
      <c r="AD15" s="26">
        <v>3</v>
      </c>
      <c r="AE15" s="26">
        <v>5</v>
      </c>
      <c r="AF15" s="29">
        <v>0.6</v>
      </c>
      <c r="AG15" s="26" t="s">
        <v>298</v>
      </c>
      <c r="AH15" s="26">
        <v>2</v>
      </c>
      <c r="AI15" s="26" t="s">
        <v>74</v>
      </c>
    </row>
    <row r="16" spans="1:35" x14ac:dyDescent="0.3">
      <c r="A16" s="26">
        <v>15</v>
      </c>
      <c r="B16" s="26" t="s">
        <v>138</v>
      </c>
      <c r="C16" s="27">
        <v>-22.120661399999999</v>
      </c>
      <c r="D16" s="27">
        <v>-51.4085605</v>
      </c>
      <c r="E16" s="26" t="s">
        <v>139</v>
      </c>
      <c r="F16" s="26" t="s">
        <v>37</v>
      </c>
      <c r="G16" s="26" t="s">
        <v>53</v>
      </c>
      <c r="H16" s="28">
        <v>8</v>
      </c>
      <c r="I16" s="26" t="s">
        <v>39</v>
      </c>
      <c r="J16" s="26" t="s">
        <v>54</v>
      </c>
      <c r="K16" s="26">
        <v>1</v>
      </c>
      <c r="L16" s="26">
        <v>1</v>
      </c>
      <c r="M16" s="35" t="s">
        <v>140</v>
      </c>
      <c r="N16" s="26">
        <v>1</v>
      </c>
      <c r="O16" s="26">
        <v>1</v>
      </c>
      <c r="P16" s="26">
        <v>0</v>
      </c>
      <c r="Q16" s="37"/>
      <c r="R16" s="26" t="s">
        <v>43</v>
      </c>
      <c r="S16" s="26" t="s">
        <v>44</v>
      </c>
      <c r="T16" s="26" t="s">
        <v>57</v>
      </c>
      <c r="U16" s="26">
        <v>0</v>
      </c>
      <c r="V16" s="26"/>
      <c r="W16" s="26">
        <v>0</v>
      </c>
      <c r="X16" s="26">
        <v>1</v>
      </c>
      <c r="Y16" s="38" t="s">
        <v>141</v>
      </c>
      <c r="Z16" s="32" t="s">
        <v>314</v>
      </c>
      <c r="AA16" s="26" t="s">
        <v>142</v>
      </c>
      <c r="AB16" s="37" t="s">
        <v>143</v>
      </c>
      <c r="AC16" s="26" t="s">
        <v>144</v>
      </c>
      <c r="AD16" s="26">
        <v>4</v>
      </c>
      <c r="AE16" s="26">
        <v>5</v>
      </c>
      <c r="AF16" s="29">
        <v>0.8</v>
      </c>
      <c r="AG16" s="26" t="s">
        <v>296</v>
      </c>
      <c r="AH16" s="26">
        <v>1</v>
      </c>
      <c r="AI16" s="26" t="s">
        <v>145</v>
      </c>
    </row>
    <row r="17" spans="1:35" x14ac:dyDescent="0.3">
      <c r="A17" s="26">
        <v>16</v>
      </c>
      <c r="B17" s="26" t="s">
        <v>138</v>
      </c>
      <c r="C17" s="27">
        <v>-22.120661399999999</v>
      </c>
      <c r="D17" s="27">
        <v>-51.4085605</v>
      </c>
      <c r="E17" s="26" t="s">
        <v>146</v>
      </c>
      <c r="F17" s="26" t="s">
        <v>94</v>
      </c>
      <c r="G17" s="26" t="s">
        <v>53</v>
      </c>
      <c r="H17" s="28">
        <v>1</v>
      </c>
      <c r="I17" s="26" t="s">
        <v>68</v>
      </c>
      <c r="J17" s="26" t="s">
        <v>54</v>
      </c>
      <c r="K17" s="26">
        <v>1</v>
      </c>
      <c r="L17" s="26">
        <v>1</v>
      </c>
      <c r="M17" s="35" t="s">
        <v>147</v>
      </c>
      <c r="N17" s="26">
        <v>1</v>
      </c>
      <c r="O17" s="26">
        <v>1</v>
      </c>
      <c r="P17" s="26">
        <v>0</v>
      </c>
      <c r="Q17" s="37"/>
      <c r="R17" s="26" t="s">
        <v>43</v>
      </c>
      <c r="S17" s="26" t="s">
        <v>44</v>
      </c>
      <c r="T17" s="26" t="s">
        <v>57</v>
      </c>
      <c r="U17" s="26">
        <v>0</v>
      </c>
      <c r="V17" s="26"/>
      <c r="W17" s="26">
        <v>0</v>
      </c>
      <c r="X17" s="26">
        <v>1</v>
      </c>
      <c r="Y17" s="38" t="s">
        <v>148</v>
      </c>
      <c r="Z17" s="32" t="s">
        <v>313</v>
      </c>
      <c r="AA17" s="26" t="s">
        <v>142</v>
      </c>
      <c r="AB17" s="37" t="s">
        <v>143</v>
      </c>
      <c r="AC17" s="26" t="s">
        <v>144</v>
      </c>
      <c r="AD17" s="26">
        <v>4</v>
      </c>
      <c r="AE17" s="26">
        <v>5</v>
      </c>
      <c r="AF17" s="29">
        <v>0.8</v>
      </c>
      <c r="AG17" s="26" t="s">
        <v>296</v>
      </c>
      <c r="AH17" s="26">
        <v>1</v>
      </c>
      <c r="AI17" s="26" t="s">
        <v>145</v>
      </c>
    </row>
  </sheetData>
  <hyperlinks>
    <hyperlink ref="Y2" r:id="rId1" xr:uid="{00000000-0004-0000-0400-000000000000}"/>
    <hyperlink ref="Y3" r:id="rId2" xr:uid="{00000000-0004-0000-0400-000001000000}"/>
    <hyperlink ref="Y4" r:id="rId3" xr:uid="{00000000-0004-0000-0400-000002000000}"/>
    <hyperlink ref="Y5" r:id="rId4" xr:uid="{00000000-0004-0000-0400-000003000000}"/>
    <hyperlink ref="Y7" r:id="rId5" xr:uid="{00000000-0004-0000-0400-000004000000}"/>
    <hyperlink ref="Y8" r:id="rId6" xr:uid="{00000000-0004-0000-0400-000005000000}"/>
    <hyperlink ref="Y12" r:id="rId7" xr:uid="{00000000-0004-0000-0400-000006000000}"/>
    <hyperlink ref="Y13" r:id="rId8" xr:uid="{00000000-0004-0000-0400-000007000000}"/>
    <hyperlink ref="Y16" r:id="rId9" xr:uid="{00000000-0004-0000-0400-000008000000}"/>
    <hyperlink ref="Y17" r:id="rId10" xr:uid="{00000000-0004-0000-0400-000009000000}"/>
    <hyperlink ref="Z3" r:id="rId11" xr:uid="{2E2B67BF-2B29-40DB-8A0E-E6CD407A0D0B}"/>
    <hyperlink ref="Z9" r:id="rId12" xr:uid="{4553C220-BBB1-499D-8593-4FD272E20CC1}"/>
  </hyperlinks>
  <pageMargins left="0.75" right="0.75" top="1" bottom="1" header="0.5" footer="0.5"/>
  <tableParts count="1"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18" customWidth="1"/>
    <col min="3" max="3" width="10" customWidth="1"/>
    <col min="4" max="4" width="26" customWidth="1"/>
    <col min="5" max="6" width="42" customWidth="1"/>
    <col min="7" max="7" width="34" customWidth="1"/>
    <col min="8" max="8" width="38" customWidth="1"/>
  </cols>
  <sheetData>
    <row r="1" spans="1:8" ht="30" customHeight="1" x14ac:dyDescent="0.3">
      <c r="A1" s="25" t="s">
        <v>242</v>
      </c>
      <c r="B1" s="25" t="s">
        <v>243</v>
      </c>
      <c r="C1" s="25" t="s">
        <v>1</v>
      </c>
      <c r="D1" s="25" t="s">
        <v>244</v>
      </c>
      <c r="E1" s="25" t="s">
        <v>245</v>
      </c>
      <c r="F1" s="25" t="s">
        <v>246</v>
      </c>
      <c r="G1" s="25" t="s">
        <v>247</v>
      </c>
      <c r="H1" s="25" t="s">
        <v>248</v>
      </c>
    </row>
    <row r="2" spans="1:8" ht="43.2" customHeight="1" x14ac:dyDescent="0.3">
      <c r="A2" s="30">
        <v>1</v>
      </c>
      <c r="B2" s="30" t="s">
        <v>249</v>
      </c>
      <c r="C2" s="30" t="s">
        <v>100</v>
      </c>
      <c r="D2" s="30" t="s">
        <v>250</v>
      </c>
      <c r="E2" s="30" t="s">
        <v>251</v>
      </c>
      <c r="F2" s="30" t="s">
        <v>252</v>
      </c>
      <c r="G2" s="30" t="s">
        <v>253</v>
      </c>
      <c r="H2" s="30" t="s">
        <v>254</v>
      </c>
    </row>
    <row r="3" spans="1:8" ht="28.8" customHeight="1" x14ac:dyDescent="0.3">
      <c r="A3" s="30">
        <v>2</v>
      </c>
      <c r="B3" s="30" t="s">
        <v>249</v>
      </c>
      <c r="C3" s="30" t="s">
        <v>100</v>
      </c>
      <c r="D3" s="30" t="s">
        <v>255</v>
      </c>
      <c r="E3" s="30" t="s">
        <v>256</v>
      </c>
      <c r="F3" s="30" t="s">
        <v>257</v>
      </c>
      <c r="G3" s="30" t="s">
        <v>258</v>
      </c>
      <c r="H3" s="30" t="s">
        <v>259</v>
      </c>
    </row>
    <row r="4" spans="1:8" ht="28.8" customHeight="1" x14ac:dyDescent="0.3">
      <c r="A4" s="31">
        <v>3</v>
      </c>
      <c r="B4" s="31" t="s">
        <v>249</v>
      </c>
      <c r="C4" s="31" t="s">
        <v>110</v>
      </c>
      <c r="D4" s="31" t="s">
        <v>185</v>
      </c>
      <c r="E4" s="31" t="s">
        <v>192</v>
      </c>
      <c r="F4" s="31" t="s">
        <v>260</v>
      </c>
      <c r="G4" s="31" t="s">
        <v>261</v>
      </c>
      <c r="H4" s="31" t="s">
        <v>262</v>
      </c>
    </row>
    <row r="5" spans="1:8" ht="28.8" customHeight="1" x14ac:dyDescent="0.3">
      <c r="A5" s="30">
        <v>4</v>
      </c>
      <c r="B5" s="30" t="s">
        <v>249</v>
      </c>
      <c r="C5" s="30" t="s">
        <v>110</v>
      </c>
      <c r="D5" s="30" t="s">
        <v>229</v>
      </c>
      <c r="E5" s="30" t="s">
        <v>263</v>
      </c>
      <c r="F5" s="30" t="s">
        <v>264</v>
      </c>
      <c r="G5" s="30" t="s">
        <v>265</v>
      </c>
      <c r="H5" s="30" t="s">
        <v>266</v>
      </c>
    </row>
    <row r="6" spans="1:8" ht="28.8" customHeight="1" x14ac:dyDescent="0.3">
      <c r="A6" s="30">
        <v>5</v>
      </c>
      <c r="B6" s="30" t="s">
        <v>267</v>
      </c>
      <c r="C6" s="30" t="s">
        <v>110</v>
      </c>
      <c r="D6" s="30" t="s">
        <v>183</v>
      </c>
      <c r="E6" s="30" t="s">
        <v>268</v>
      </c>
      <c r="F6" s="30" t="s">
        <v>269</v>
      </c>
      <c r="G6" s="30" t="s">
        <v>270</v>
      </c>
      <c r="H6" s="30" t="s">
        <v>271</v>
      </c>
    </row>
    <row r="7" spans="1:8" ht="28.8" customHeight="1" x14ac:dyDescent="0.3">
      <c r="A7" s="30">
        <v>6</v>
      </c>
      <c r="B7" s="30" t="s">
        <v>267</v>
      </c>
      <c r="C7" s="30" t="s">
        <v>51</v>
      </c>
      <c r="D7" s="30" t="s">
        <v>175</v>
      </c>
      <c r="E7" s="30" t="s">
        <v>268</v>
      </c>
      <c r="F7" s="30" t="s">
        <v>272</v>
      </c>
      <c r="G7" s="30" t="s">
        <v>273</v>
      </c>
      <c r="H7" s="30" t="s">
        <v>274</v>
      </c>
    </row>
    <row r="8" spans="1:8" x14ac:dyDescent="0.3">
      <c r="A8" s="30">
        <v>7</v>
      </c>
      <c r="B8" s="30" t="s">
        <v>267</v>
      </c>
      <c r="C8" s="30" t="s">
        <v>92</v>
      </c>
      <c r="D8" s="30" t="s">
        <v>175</v>
      </c>
      <c r="E8" s="30" t="s">
        <v>268</v>
      </c>
      <c r="F8" s="30" t="s">
        <v>275</v>
      </c>
      <c r="G8" s="30" t="s">
        <v>276</v>
      </c>
      <c r="H8" s="30" t="s">
        <v>277</v>
      </c>
    </row>
    <row r="9" spans="1:8" x14ac:dyDescent="0.3">
      <c r="A9" s="30">
        <v>8</v>
      </c>
      <c r="B9" s="30" t="s">
        <v>267</v>
      </c>
      <c r="C9" s="30" t="s">
        <v>75</v>
      </c>
      <c r="D9" s="30" t="s">
        <v>175</v>
      </c>
      <c r="E9" s="30" t="s">
        <v>268</v>
      </c>
      <c r="F9" s="30" t="s">
        <v>278</v>
      </c>
      <c r="G9" s="30" t="s">
        <v>276</v>
      </c>
      <c r="H9" s="30" t="s">
        <v>279</v>
      </c>
    </row>
    <row r="10" spans="1:8" ht="28.8" customHeight="1" x14ac:dyDescent="0.3">
      <c r="A10" s="30">
        <v>9</v>
      </c>
      <c r="B10" s="30" t="s">
        <v>267</v>
      </c>
      <c r="C10" s="30" t="s">
        <v>280</v>
      </c>
      <c r="D10" s="30" t="s">
        <v>176</v>
      </c>
      <c r="E10" s="30" t="s">
        <v>268</v>
      </c>
      <c r="F10" s="30" t="s">
        <v>281</v>
      </c>
      <c r="G10" s="30" t="s">
        <v>282</v>
      </c>
      <c r="H10" s="30" t="s">
        <v>283</v>
      </c>
    </row>
    <row r="11" spans="1:8" ht="28.8" customHeight="1" x14ac:dyDescent="0.3">
      <c r="A11" s="30">
        <v>10</v>
      </c>
      <c r="B11" s="30" t="s">
        <v>267</v>
      </c>
      <c r="C11" s="30" t="s">
        <v>284</v>
      </c>
      <c r="D11" s="30" t="s">
        <v>285</v>
      </c>
      <c r="E11" s="30" t="s">
        <v>268</v>
      </c>
      <c r="F11" s="30" t="s">
        <v>286</v>
      </c>
      <c r="G11" s="30" t="s">
        <v>287</v>
      </c>
      <c r="H11" s="30" t="s">
        <v>288</v>
      </c>
    </row>
    <row r="12" spans="1:8" ht="28.8" customHeight="1" x14ac:dyDescent="0.3">
      <c r="A12" s="31">
        <v>11</v>
      </c>
      <c r="B12" s="31" t="s">
        <v>289</v>
      </c>
      <c r="C12" s="31" t="s">
        <v>290</v>
      </c>
      <c r="D12" s="31" t="s">
        <v>291</v>
      </c>
      <c r="E12" s="31" t="s">
        <v>292</v>
      </c>
      <c r="F12" s="31" t="s">
        <v>293</v>
      </c>
      <c r="G12" s="31" t="s">
        <v>294</v>
      </c>
      <c r="H12" s="31" t="s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</vt:lpstr>
      <vt:lpstr>Base Consolidada</vt:lpstr>
      <vt:lpstr>Resumo por CFP</vt:lpstr>
      <vt:lpstr>Pontos de Atenção</vt:lpstr>
      <vt:lpstr>BI_Base</vt:lpstr>
      <vt:lpstr>BI_Inconsistencias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Daiane Cristina Delfino</dc:creator>
  <cp:lastModifiedBy>Paulo Lucas da Silva</cp:lastModifiedBy>
  <dcterms:created xsi:type="dcterms:W3CDTF">2026-08-04T17:05:13Z</dcterms:created>
  <dcterms:modified xsi:type="dcterms:W3CDTF">2026-08-11T12:00:04Z</dcterms:modified>
</cp:coreProperties>
</file>